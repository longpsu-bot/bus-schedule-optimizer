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Biểu đồ giờ\New model\"/>
    </mc:Choice>
  </mc:AlternateContent>
  <xr:revisionPtr revIDLastSave="0" documentId="13_ncr:1_{9E38C047-CAE7-422D-8B1F-DCCE6E83CB4F}" xr6:coauthVersionLast="47" xr6:coauthVersionMax="47" xr10:uidLastSave="{00000000-0000-0000-0000-000000000000}"/>
  <bookViews>
    <workbookView xWindow="-120" yWindow="-120" windowWidth="29040" windowHeight="15720" xr2:uid="{59290C7E-13AE-4EBE-83FA-B3E13CDC6260}"/>
  </bookViews>
  <sheets>
    <sheet name="Config template" sheetId="4" r:id="rId1"/>
    <sheet name="Schedule Templat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2" l="1"/>
  <c r="H6" i="2"/>
  <c r="H7" i="2"/>
  <c r="H8" i="2"/>
  <c r="I5" i="2"/>
  <c r="I6" i="2"/>
  <c r="I7" i="2"/>
  <c r="I8" i="2"/>
  <c r="I4" i="2"/>
  <c r="H5" i="2"/>
  <c r="B13" i="2"/>
  <c r="B14" i="2"/>
</calcChain>
</file>

<file path=xl/sharedStrings.xml><?xml version="1.0" encoding="utf-8"?>
<sst xmlns="http://schemas.openxmlformats.org/spreadsheetml/2006/main" count="28" uniqueCount="20">
  <si>
    <t>Số chuyến</t>
  </si>
  <si>
    <t>BX BUÝT TÂN PHÚ</t>
  </si>
  <si>
    <t>BX TIỀN GIANG</t>
  </si>
  <si>
    <t>ĐI</t>
  </si>
  <si>
    <t>ĐẾN</t>
  </si>
  <si>
    <t>Giãn cách cao điểm (phút)</t>
  </si>
  <si>
    <t>Giãn cách thấp điểm (phút)</t>
  </si>
  <si>
    <t>Giãn cách</t>
  </si>
  <si>
    <t>Xe</t>
  </si>
  <si>
    <t>Số xe tối thiểu</t>
  </si>
  <si>
    <t>Thời gian quay đầu</t>
  </si>
  <si>
    <t>Đi</t>
  </si>
  <si>
    <t>Về</t>
  </si>
  <si>
    <t xml:space="preserve"> </t>
  </si>
  <si>
    <t>Thời gian hành trình 01 chuyến xe (phút)</t>
  </si>
  <si>
    <t>Tổng số chuyến (chuyến / ngày)</t>
  </si>
  <si>
    <t>Giờ băt đầu tại bến 1</t>
  </si>
  <si>
    <t>Giờ kết thúc tại bến 1</t>
  </si>
  <si>
    <t>Giờ băt đầu tại bến 2</t>
  </si>
  <si>
    <t>Giờ kết thúc tại bến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</si>
</sst>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h:mm;@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4"/>
      <color rgb="FF000000"/>
      <name val="TimesNewRomanPS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4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/>
    </xf>
    <xf numFmtId="20" fontId="8" fillId="0" borderId="1" xfId="0" applyNumberFormat="1" applyFont="1" applyBorder="1" applyAlignment="1">
      <alignment vertical="center" wrapText="1"/>
    </xf>
    <xf numFmtId="0" fontId="1" fillId="0" borderId="0" xfId="0" applyFont="1"/>
    <xf numFmtId="1" fontId="0" fillId="0" borderId="0" xfId="0" applyNumberFormat="1"/>
    <xf numFmtId="20" fontId="0" fillId="0" borderId="0" xfId="0" applyNumberFormat="1"/>
    <xf numFmtId="0" fontId="3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0" fillId="0" borderId="1" xfId="0" applyBorder="1"/>
    <xf numFmtId="20" fontId="0" fillId="0" borderId="1" xfId="0" applyNumberFormat="1" applyBorder="1"/>
  </cellXfs>
  <cellStyles count="2">
    <cellStyle name="Normal" xfId="0" builtinId="0"/>
    <cellStyle name="Normal_BDG BT - TTT,DS - CHT 2" xfId="1" xr:uid="{B65A86A4-B5B3-4B91-B16B-CD82847558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0C6E-0134-4923-8080-A5B3DE555A0B}">
  <dimension ref="A1:B6"/>
  <sheetViews>
    <sheetView tabSelected="1" workbookViewId="0">
      <selection activeCell="H19" sqref="H19"/>
    </sheetView>
  </sheetViews>
  <sheetFormatPr defaultRowHeight="15"/>
  <cols>
    <col min="1" max="1" width="38.42578125" customWidth="1"/>
  </cols>
  <sheetData>
    <row r="1" spans="1:2">
      <c r="A1" s="4" t="s">
        <v>14</v>
      </c>
      <c r="B1">
        <v>60</v>
      </c>
    </row>
    <row r="2" spans="1:2">
      <c r="A2" s="4" t="s">
        <v>15</v>
      </c>
      <c r="B2">
        <v>40</v>
      </c>
    </row>
    <row r="3" spans="1:2">
      <c r="A3" s="4" t="s">
        <v>16</v>
      </c>
      <c r="B3" s="6">
        <v>0.25</v>
      </c>
    </row>
    <row r="4" spans="1:2">
      <c r="A4" s="4" t="s">
        <v>17</v>
      </c>
      <c r="B4" s="6">
        <v>0.69097222222222221</v>
      </c>
    </row>
    <row r="5" spans="1:2">
      <c r="A5" s="4" t="s">
        <v>18</v>
      </c>
      <c r="B5" s="6">
        <v>0.2986111111111111</v>
      </c>
    </row>
    <row r="6" spans="1:2">
      <c r="A6" s="4" t="s">
        <v>19</v>
      </c>
      <c r="B6" s="6">
        <v>0.73958333333333337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D331-0DD1-43E5-9442-5CD889515AE0}">
  <dimension ref="A1:J15"/>
  <sheetViews>
    <sheetView zoomScale="130" zoomScaleNormal="130" workbookViewId="0">
      <selection activeCell="A27" sqref="A27"/>
    </sheetView>
  </sheetViews>
  <sheetFormatPr defaultRowHeight="15"/>
  <cols>
    <col min="1" max="1" width="24.5703125" customWidth="1"/>
    <col min="2" max="2" width="22.85546875" customWidth="1"/>
    <col min="3" max="3" width="24.140625" customWidth="1"/>
    <col min="5" max="5" width="12" customWidth="1"/>
    <col min="6" max="6" width="22.7109375" customWidth="1"/>
    <col min="7" max="7" width="39.5703125" customWidth="1"/>
  </cols>
  <sheetData>
    <row r="1" spans="1:10" ht="15.75">
      <c r="A1" s="7" t="s">
        <v>0</v>
      </c>
      <c r="B1" s="1" t="s">
        <v>1</v>
      </c>
      <c r="C1" s="1"/>
      <c r="D1" s="8" t="s">
        <v>7</v>
      </c>
      <c r="E1" s="8"/>
      <c r="F1" s="8" t="s">
        <v>2</v>
      </c>
      <c r="G1" s="8"/>
      <c r="H1" s="9" t="s">
        <v>8</v>
      </c>
      <c r="I1" s="9"/>
    </row>
    <row r="2" spans="1:10" ht="15.75">
      <c r="A2" s="7"/>
      <c r="B2" s="10" t="s">
        <v>3</v>
      </c>
      <c r="C2" s="10" t="s">
        <v>4</v>
      </c>
      <c r="D2" s="10"/>
      <c r="E2" s="10"/>
      <c r="F2" s="10" t="s">
        <v>3</v>
      </c>
      <c r="G2" s="10" t="s">
        <v>4</v>
      </c>
      <c r="H2" s="9" t="s">
        <v>10</v>
      </c>
      <c r="I2" s="9"/>
    </row>
    <row r="3" spans="1:10" ht="15.75">
      <c r="A3" s="7"/>
      <c r="B3" s="11" t="s">
        <v>1</v>
      </c>
      <c r="C3" s="11" t="s">
        <v>2</v>
      </c>
      <c r="D3" s="11" t="s">
        <v>11</v>
      </c>
      <c r="E3" s="11" t="s">
        <v>12</v>
      </c>
      <c r="F3" s="11" t="s">
        <v>2</v>
      </c>
      <c r="G3" s="11" t="s">
        <v>1</v>
      </c>
      <c r="H3" s="11" t="s">
        <v>11</v>
      </c>
      <c r="I3" s="12" t="s">
        <v>12</v>
      </c>
    </row>
    <row r="4" spans="1:10" ht="18.75">
      <c r="A4" s="13">
        <v>1</v>
      </c>
      <c r="B4" s="3">
        <v>0.25</v>
      </c>
      <c r="C4" s="3">
        <v>0.29166666666666669</v>
      </c>
      <c r="D4" s="2"/>
      <c r="E4" s="2"/>
      <c r="F4" s="3">
        <v>0.2986111111111111</v>
      </c>
      <c r="G4" s="3">
        <v>0.34027777777777779</v>
      </c>
      <c r="H4" s="14"/>
      <c r="I4" s="15">
        <f>F4-C4</f>
        <v>6.9444444444444198E-3</v>
      </c>
    </row>
    <row r="5" spans="1:10" ht="18.75">
      <c r="A5" s="13">
        <v>2</v>
      </c>
      <c r="B5" s="3">
        <v>0.35416666666666669</v>
      </c>
      <c r="C5" s="3">
        <v>0.39583333333333331</v>
      </c>
      <c r="D5" s="2">
        <v>0.10416666666666669</v>
      </c>
      <c r="E5" s="2">
        <v>0.1076388888888889</v>
      </c>
      <c r="F5" s="3">
        <v>0.40625</v>
      </c>
      <c r="G5" s="3">
        <v>0.44791666666666669</v>
      </c>
      <c r="H5" s="15">
        <f>B5-G4</f>
        <v>1.3888888888888895E-2</v>
      </c>
      <c r="I5" s="15">
        <f t="shared" ref="I5:I8" si="0">F5-C5</f>
        <v>1.0416666666666685E-2</v>
      </c>
    </row>
    <row r="6" spans="1:10" ht="18.75">
      <c r="A6" s="13">
        <v>3</v>
      </c>
      <c r="B6" s="3">
        <v>0.46527777777777779</v>
      </c>
      <c r="C6" s="3">
        <v>0.50694444444444442</v>
      </c>
      <c r="D6" s="2">
        <v>0.1111111111111111</v>
      </c>
      <c r="E6" s="2">
        <v>0.11458333333333337</v>
      </c>
      <c r="F6" s="3">
        <v>0.52083333333333337</v>
      </c>
      <c r="G6" s="3">
        <v>0.5625</v>
      </c>
      <c r="H6" s="15">
        <f t="shared" ref="H6:H8" si="1">B6-G5</f>
        <v>1.7361111111111105E-2</v>
      </c>
      <c r="I6" s="15">
        <f t="shared" si="0"/>
        <v>1.3888888888888951E-2</v>
      </c>
    </row>
    <row r="7" spans="1:10" ht="18.75">
      <c r="A7" s="13">
        <v>4</v>
      </c>
      <c r="B7" s="3">
        <v>0.58333333333333337</v>
      </c>
      <c r="C7" s="3">
        <v>0.625</v>
      </c>
      <c r="D7" s="2">
        <v>0.11805555555555558</v>
      </c>
      <c r="E7" s="2">
        <v>0.11458333333333326</v>
      </c>
      <c r="F7" s="3">
        <v>0.63541666666666663</v>
      </c>
      <c r="G7" s="3">
        <v>0.67708333333333337</v>
      </c>
      <c r="H7" s="15">
        <f t="shared" si="1"/>
        <v>2.083333333333337E-2</v>
      </c>
      <c r="I7" s="15">
        <f t="shared" si="0"/>
        <v>1.041666666666663E-2</v>
      </c>
    </row>
    <row r="8" spans="1:10" ht="18.75">
      <c r="A8" s="13">
        <v>5</v>
      </c>
      <c r="B8" s="3">
        <v>0.69097222222222221</v>
      </c>
      <c r="C8" s="3">
        <v>0.73263888888888884</v>
      </c>
      <c r="D8" s="2">
        <v>0.10763888888888884</v>
      </c>
      <c r="E8" s="2">
        <v>0.10416666666666674</v>
      </c>
      <c r="F8" s="3">
        <v>0.73958333333333337</v>
      </c>
      <c r="G8" s="3">
        <v>0.78125</v>
      </c>
      <c r="H8" s="15">
        <f t="shared" si="1"/>
        <v>1.388888888888884E-2</v>
      </c>
      <c r="I8" s="15">
        <f t="shared" si="0"/>
        <v>6.9444444444445308E-3</v>
      </c>
    </row>
    <row r="12" spans="1:10">
      <c r="J12" t="s">
        <v>13</v>
      </c>
    </row>
    <row r="13" spans="1:10">
      <c r="A13" s="4" t="s">
        <v>5</v>
      </c>
      <c r="B13" s="5">
        <f>HOUR(MAX($D:$E))*60+MINUTE(MAX($D:$E))</f>
        <v>170</v>
      </c>
    </row>
    <row r="14" spans="1:10">
      <c r="A14" s="4" t="s">
        <v>6</v>
      </c>
      <c r="B14" s="5">
        <f>HOUR(MIN($D:$E))*60+MINUTE(MIN($D:$E))</f>
        <v>150</v>
      </c>
    </row>
    <row r="15" spans="1:10">
      <c r="A15" s="4" t="s">
        <v>9</v>
      </c>
      <c r="B15">
        <f>COUNTBLANK(H4:I8)</f>
        <v>1</v>
      </c>
    </row>
  </sheetData>
  <mergeCells count="6">
    <mergeCell ref="A1:A3"/>
    <mergeCell ref="B1:C1"/>
    <mergeCell ref="F1:G1"/>
    <mergeCell ref="D1:E1"/>
    <mergeCell ref="H1:I1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 template</vt:lpstr>
      <vt:lpstr>Schedule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Lai</dc:creator>
  <cp:lastModifiedBy>Long Lai</cp:lastModifiedBy>
  <dcterms:created xsi:type="dcterms:W3CDTF">2026-07-21T01:52:16Z</dcterms:created>
  <dcterms:modified xsi:type="dcterms:W3CDTF">2026-07-21T02:25:48Z</dcterms:modified>
</cp:coreProperties>
</file>