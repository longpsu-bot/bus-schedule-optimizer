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eb95dbb67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951af766704a4d"/>
    <x:sheet xmlns:r="http://schemas.openxmlformats.org/officeDocument/2006/relationships" name="Timetable" sheetId="2" r:id="R37bbb9fac26c4517"/>
    <x:sheet xmlns:r="http://schemas.openxmlformats.org/officeDocument/2006/relationships" name="ServiceRegimes" sheetId="3" r:id="R63a1c1be5eb4472f"/>
    <x:sheet xmlns:r="http://schemas.openxmlformats.org/officeDocument/2006/relationships" name="Demand_Comparison" sheetId="4" r:id="Reff2d16906874619"/>
    <x:sheet xmlns:r="http://schemas.openxmlformats.org/officeDocument/2006/relationships" name="Comparison" sheetId="5" r:id="R6647e7ef85ee40ea"/>
    <x:sheet xmlns:r="http://schemas.openxmlformats.org/officeDocument/2006/relationships" name="Fleet_Plan" sheetId="6" r:id="R56b4f6e1f8264261"/>
    <x:sheet xmlns:r="http://schemas.openxmlformats.org/officeDocument/2006/relationships" name="Layover_Robustness" sheetId="7" r:id="R7d406773fa4a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hh:mm"/>
    <x:numFmt numFmtId="201" formatCode="0.000000"/>
    <x:numFmt numFmtId="202" formatCode="0"/>
    <x:numFmt numFmtId="203" formatCode="0.00"/>
    <x:numFmt numFmtId="204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6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616f7091c4819" /><Relationship Type="http://schemas.openxmlformats.org/officeDocument/2006/relationships/theme" Target="/xl/theme/theme1.xml" Id="R76411de6d5c94c23" /><Relationship Type="http://schemas.openxmlformats.org/officeDocument/2006/relationships/sharedStrings" Target="/xl/sharedStrings.xml" Id="R16939632b4d84b59" /><Relationship Type="http://schemas.openxmlformats.org/officeDocument/2006/relationships/worksheet" Target="/xl/worksheets/sheet1.xml" Id="R27951af766704a4d" /><Relationship Type="http://schemas.openxmlformats.org/officeDocument/2006/relationships/worksheet" Target="/xl/worksheets/sheet2.xml" Id="R37bbb9fac26c4517" /><Relationship Type="http://schemas.openxmlformats.org/officeDocument/2006/relationships/worksheet" Target="/xl/worksheets/sheet3.xml" Id="R63a1c1be5eb4472f" /><Relationship Type="http://schemas.openxmlformats.org/officeDocument/2006/relationships/worksheet" Target="/xl/worksheets/sheet4.xml" Id="Reff2d16906874619" /><Relationship Type="http://schemas.openxmlformats.org/officeDocument/2006/relationships/worksheet" Target="/xl/worksheets/sheet5.xml" Id="R6647e7ef85ee40ea" /><Relationship Type="http://schemas.openxmlformats.org/officeDocument/2006/relationships/worksheet" Target="/xl/worksheets/sheet6.xml" Id="R56b4f6e1f8264261" /><Relationship Type="http://schemas.openxmlformats.org/officeDocument/2006/relationships/worksheet" Target="/xl/worksheets/sheet7.xml" Id="R7d406773fa4a47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36fbc7d89347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 and service shares by frozen 30-minute bucket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Observed demand profile</c:v>
          </c:tx>
          <c:marker>
            <c:symbol val="none"/>
          </c:marker>
          <c:cat>
            <c:strRef>
              <c:f>'Demand_Comparison'!$K$2:$K$69</c:f>
              <c:strCache>
                <c:ptCount val="0"/>
              </c:strCache>
            </c:strRef>
          </c:cat>
          <c:val>
            <c:numRef>
              <c:f>'Demand_Comparison'!$L$2:$L$69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Scenario B/current service</c:v>
          </c:tx>
          <c:marker>
            <c:symbol val="none"/>
          </c:marker>
          <c:cat>
            <c:strRef>
              <c:f>'Demand_Comparison'!$K$2:$K$69</c:f>
              <c:strCache>
                <c:ptCount val="0"/>
              </c:strCache>
            </c:strRef>
          </c:cat>
          <c:val>
            <c:numRef>
              <c:f>'Demand_Comparison'!$M$2:$M$69</c:f>
              <c:numCache>
                <c:formatCode>0.00%</c:formatCode>
                <c:ptCount val="0"/>
              </c:numCache>
            </c:numRef>
          </c:val>
          <c:smooth val="0"/>
        </c:ser>
        <c:ser>
          <c:idx val="2"/>
          <c:order val="2"/>
          <c:tx>
            <c:v>Final selected service</c:v>
          </c:tx>
          <c:marker>
            <c:symbol val="none"/>
          </c:marker>
          <c:cat>
            <c:strRef>
              <c:f>'Demand_Comparison'!$K$2:$K$69</c:f>
              <c:strCache>
                <c:ptCount val="0"/>
              </c:strCache>
            </c:strRef>
          </c:cat>
          <c:val>
            <c:numRef>
              <c:f>'Demand_Comparison'!$N$2:$N$69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36fbc7d89347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ute6OutboundTimetable" displayName="Route6OutboundTimetable" ref="A1:D79" headerRowCount="1" totalsRowCount="0" totalsRowShown="0">
  <x:autoFilter ref="A1:D79"/>
  <x:tableColumns count="4">
    <x:tableColumn id="1" name="Sequence"/>
    <x:tableColumn id="2" name="Departure"/>
    <x:tableColumn id="3" name="ServiceRegime"/>
    <x:tableColumn id="4" name="Headwa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6InboundTimetable" displayName="Route6InboundTimetable" ref="F1:I79" headerRowCount="1" totalsRowCount="0" totalsRowShown="0">
  <x:autoFilter ref="F1:I79"/>
  <x:tableColumns count="4">
    <x:tableColumn id="1" name="Sequence"/>
    <x:tableColumn id="2" name="Departure"/>
    <x:tableColumn id="3" name="ServiceRegime"/>
    <x:tableColumn id="4" name="Headwa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6ServiceRegimes" displayName="Route6ServiceRegimes" ref="A1:G16" headerRowCount="1" totalsRowCount="0" totalsRowShown="0">
  <x:autoFilter ref="A1:G16"/>
  <x:tableColumns count="7">
    <x:tableColumn id="1" name="Direction"/>
    <x:tableColumn id="2" name="ServiceRegime"/>
    <x:tableColumn id="3" name="Start"/>
    <x:tableColumn id="4" name="End"/>
    <x:tableColumn id="5" name="Headway_minutes"/>
    <x:tableColumn id="6" name="Trip_count"/>
    <x:tableColumn id="7" name="DemandRegime_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6DemandComparison" displayName="Route6DemandComparison" ref="A1:I69" headerRowCount="1" totalsRowCount="0" totalsRowShown="0">
  <x:autoFilter ref="A1:I69"/>
  <x:tableColumns count="9">
    <x:tableColumn id="1" name="Direction"/>
    <x:tableColumn id="2" name="Start"/>
    <x:tableColumn id="3" name="End"/>
    <x:tableColumn id="4" name="Observed_demand"/>
    <x:tableColumn id="5" name="Scenario_B_service_count"/>
    <x:tableColumn id="6" name="Final_service_count"/>
    <x:tableColumn id="7" name="Demand_share"/>
    <x:tableColumn id="8" name="Scenario_B_service_share"/>
    <x:tableColumn id="9" name="Final_service_sha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ute6Comparison" displayName="Route6Comparison" ref="A1:D12" headerRowCount="1" totalsRowCount="0" totalsRowShown="0">
  <x:autoFilter ref="A1:D12"/>
  <x:tableColumns count="4">
    <x:tableColumn id="1" name="Metric"/>
    <x:tableColumn id="2" name="Scenario B/current"/>
    <x:tableColumn id="3" name="Final"/>
    <x:tableColumn id="4" name="Unit / 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ute6FleetPlan" displayName="Route6FleetPlan" ref="A1:G157" headerRowCount="1" totalsRowCount="0" totalsRowShown="0">
  <x:autoFilter ref="A1:G157"/>
  <x:tableColumns count="7">
    <x:tableColumn id="1" name="Vehicle"/>
    <x:tableColumn id="2" name="Trip"/>
    <x:tableColumn id="3" name="Direction"/>
    <x:tableColumn id="4" name="Departure"/>
    <x:tableColumn id="5" name="Arrival"/>
    <x:tableColumn id="6" name="Next_trip"/>
    <x:tableColumn id="7" name="Connection_layover_minu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ute6LayoverRobustness" displayName="Route6LayoverRobustness" ref="A1:O3" headerRowCount="1" totalsRowCount="0" totalsRowShown="0">
  <x:autoFilter ref="A1:O3"/>
  <x:tableColumns count="15">
    <x:tableColumn id="1" name="Case"/>
    <x:tableColumn id="2" name="Runtime_min"/>
    <x:tableColumn id="3" name="Minimum_layover_min"/>
    <x:tableColumn id="4" name="Fleet_ceiling"/>
    <x:tableColumn id="5" name="Fleet_required"/>
    <x:tableColumn id="6" name="Fleet_margin"/>
    <x:tableColumn id="7" name="Timetable_changed"/>
    <x:tableColumn id="8" name="Trips_shifted"/>
    <x:tableColumn id="9" name="Expected_wait"/>
    <x:tableColumn id="10" name="Mismatch"/>
    <x:tableColumn id="11" name="Min_connection_layover"/>
    <x:tableColumn id="12" name="Median_connection_layover"/>
    <x:tableColumn id="13" name="Max_connection_layover"/>
    <x:tableColumn id="14" name="All_connections_pass"/>
    <x:tableColumn id="1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8f137d81004b73" /><Relationship Type="http://schemas.openxmlformats.org/officeDocument/2006/relationships/table" Target="/xl/tables/table2.xml" Id="R0f7d7f8f39e44a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293794247748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8a3230f1afe483c" /><Relationship Type="http://schemas.openxmlformats.org/officeDocument/2006/relationships/table" Target="/xl/tables/table4.xml" Id="Rbb9e50a2c03d41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690fefe84b46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1f72e9546548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5633097f26947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92" hidden="0" customWidth="1"/>
  </x:cols>
  <x:sheetData>
    <x:row r="1" ht="30" customHeight="1">
      <x:c r="A1" s="3" t="str">
        <x:v>Route 6 — Final Pilot Timetable</x:v>
      </x:c>
      <x:c r="B1" s="3"/>
    </x:row>
    <x:row r="3">
      <x:c r="A3" s="6" t="str">
        <x:v>Route</x:v>
      </x:c>
      <x:c r="B3" s="7" t="str">
        <x:v>6</x:v>
      </x:c>
    </x:row>
    <x:row r="4">
      <x:c r="A4" s="8" t="str">
        <x:v>Certification status</x:v>
      </x:c>
      <x:c r="B4" s="9" t="str">
        <x:v>PILOT_FINAL_CERTIFIED</x:v>
      </x:c>
    </x:row>
    <x:row r="5">
      <x:c r="A5" s="8" t="str">
        <x:v>Selected pair fingerprint</x:v>
      </x:c>
      <x:c r="B5" s="9" t="str">
        <x:v>b6712e5e1a552fa75fbfe042454b7d0568e4cd06b265b7d38d8760358dfb4063</x:v>
      </x:c>
    </x:row>
    <x:row r="6">
      <x:c r="A6" s="8" t="str">
        <x:v>Trips/day</x:v>
      </x:c>
      <x:c r="B6" s="9" t="n">
        <x:f>B7+B8</x:f>
        <x:v>156</x:v>
      </x:c>
    </x:row>
    <x:row r="7">
      <x:c r="A7" s="8" t="str">
        <x:v>Trips outbound</x:v>
      </x:c>
      <x:c r="B7" s="9" t="n">
        <x:v>78</x:v>
      </x:c>
    </x:row>
    <x:row r="8">
      <x:c r="A8" s="8" t="str">
        <x:v>Trips inbound</x:v>
      </x:c>
      <x:c r="B8" s="9" t="n">
        <x:v>78</x:v>
      </x:c>
    </x:row>
    <x:row r="9">
      <x:c r="A9" s="8" t="str">
        <x:v>First departure outbound</x:v>
      </x:c>
      <x:c r="B9" s="12" t="n">
        <x:v>0.2048611111111111</x:v>
      </x:c>
    </x:row>
    <x:row r="10">
      <x:c r="A10" s="8" t="str">
        <x:v>Last departure outbound</x:v>
      </x:c>
      <x:c r="B10" s="12" t="n">
        <x:v>0.875</x:v>
      </x:c>
    </x:row>
    <x:row r="11">
      <x:c r="A11" s="8" t="str">
        <x:v>First departure inbound</x:v>
      </x:c>
      <x:c r="B11" s="12" t="n">
        <x:v>0.2048611111111111</x:v>
      </x:c>
    </x:row>
    <x:row r="12">
      <x:c r="A12" s="8" t="str">
        <x:v>Last departure inbound</x:v>
      </x:c>
      <x:c r="B12" s="12" t="n">
        <x:v>0.875</x:v>
      </x:c>
    </x:row>
    <x:row r="13">
      <x:c r="A13" s="8" t="str">
        <x:v>Runtime (minutes each direction)</x:v>
      </x:c>
      <x:c r="B13" s="9" t="n">
        <x:v>70</x:v>
      </x:c>
    </x:row>
    <x:row r="14">
      <x:c r="A14" s="8" t="str">
        <x:v>Official minimum layover (minutes)</x:v>
      </x:c>
      <x:c r="B14" s="9" t="n">
        <x:v>5</x:v>
      </x:c>
    </x:row>
    <x:row r="15">
      <x:c r="A15" s="8" t="str">
        <x:v>Fleet ceiling</x:v>
      </x:c>
      <x:c r="B15" s="9" t="n">
        <x:v>20</x:v>
      </x:c>
    </x:row>
    <x:row r="16">
      <x:c r="A16" s="8" t="str">
        <x:v>Fleet required</x:v>
      </x:c>
      <x:c r="B16" s="9" t="n">
        <x:v>19</x:v>
      </x:c>
    </x:row>
    <x:row r="17">
      <x:c r="A17" s="8" t="str">
        <x:v>Fleet spare</x:v>
      </x:c>
      <x:c r="B17" s="9" t="n">
        <x:f>B15-B16</x:f>
        <x:v>1</x:v>
      </x:c>
    </x:row>
    <x:row r="18">
      <x:c r="A18" s="8" t="str">
        <x:v>Expected passenger wait (minutes)</x:v>
      </x:c>
      <x:c r="B18" s="13" t="n">
        <x:v>6.043783393326659</x:v>
      </x:c>
    </x:row>
    <x:row r="19">
      <x:c r="A19" s="8" t="str">
        <x:v>Observed demand mismatch</x:v>
      </x:c>
      <x:c r="B19" s="13" t="n">
        <x:v>0.007197180311487441</x:v>
      </x:c>
    </x:row>
    <x:row r="20">
      <x:c r="A20" s="8" t="str">
        <x:v>Actual ServiceRegime count</x:v>
      </x:c>
      <x:c r="B20" s="14" t="n">
        <x:v>15</x:v>
      </x:c>
    </x:row>
    <x:row r="21">
      <x:c r="A21" s="8" t="str">
        <x:v>Maximum frequency jump</x:v>
      </x:c>
      <x:c r="B21" s="13" t="n">
        <x:v>0.6286086594223741</x:v>
      </x:c>
    </x:row>
    <x:row r="22">
      <x:c r="A22" s="8" t="str">
        <x:v>Total frequency variation</x:v>
      </x:c>
      <x:c r="B22" s="13" t="n">
        <x:v>5.586416018885035</x:v>
      </x:c>
    </x:row>
    <x:row r="23">
      <x:c r="A23" s="8" t="str">
        <x:v>Selection source</x:v>
      </x:c>
      <x:c r="B23" s="15" t="str">
        <x:v>PR62-F3 deterministic Pareto review with PR62-G0 Route 6 robustness certification</x:v>
      </x:c>
    </x:row>
    <x:row r="24">
      <x:c r="A24" s="10" t="str">
        <x:v>Settlement used</x:v>
      </x:c>
      <x:c r="B24" s="11" t="str">
        <x:v>No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7" hidden="0" customWidth="1"/>
    <x:col min="4" max="4" width="11" hidden="0" customWidth="1"/>
    <x:col min="5" max="5" width="3" hidden="0" customWidth="1"/>
    <x:col min="6" max="6" width="11" hidden="0" customWidth="1"/>
    <x:col min="7" max="7" width="13" hidden="0" customWidth="1"/>
    <x:col min="8" max="8" width="27" hidden="0" customWidth="1"/>
    <x:col min="9" max="9" width="11" hidden="0" customWidth="1"/>
  </x:cols>
  <x:sheetData>
    <x:row r="1">
      <x:c r="A1" s="24" t="str">
        <x:v>Sequence</x:v>
      </x:c>
      <x:c r="B1" s="25" t="str">
        <x:v>Departure</x:v>
      </x:c>
      <x:c r="C1" s="25" t="str">
        <x:v>ServiceRegime</x:v>
      </x:c>
      <x:c r="D1" s="26" t="str">
        <x:v>Headway</x:v>
      </x:c>
      <x:c r="F1" s="24" t="str">
        <x:v>Sequence</x:v>
      </x:c>
      <x:c r="G1" s="25" t="str">
        <x:v>Departure</x:v>
      </x:c>
      <x:c r="H1" s="25" t="str">
        <x:v>ServiceRegime</x:v>
      </x:c>
      <x:c r="I1" s="26" t="str">
        <x:v>Headway</x:v>
      </x:c>
    </x:row>
    <x:row r="2">
      <x:c r="A2" s="4" t="n">
        <x:v>1</x:v>
      </x:c>
      <x:c r="B2" s="28" t="n">
        <x:v>0.2048611111111111</x:v>
      </x:c>
      <x:c r="C2" s="4" t="str">
        <x:v>SERVICE-OUTBOUND-01</x:v>
      </x:c>
      <x:c r="D2" s="4"/>
      <x:c r="F2" s="4" t="n">
        <x:v>1</x:v>
      </x:c>
      <x:c r="G2" s="28" t="n">
        <x:v>0.2048611111111111</x:v>
      </x:c>
      <x:c r="H2" s="4" t="str">
        <x:v>SERVICE-INBOUND-01</x:v>
      </x:c>
      <x:c r="I2" s="4"/>
    </x:row>
    <x:row r="3">
      <x:c r="A3" s="4" t="n">
        <x:v>2</x:v>
      </x:c>
      <x:c r="B3" s="28" t="n">
        <x:v>0.21597222222222223</x:v>
      </x:c>
      <x:c r="C3" s="4" t="str">
        <x:v>SERVICE-OUTBOUND-01</x:v>
      </x:c>
      <x:c r="D3" s="4" t="n">
        <x:v>16</x:v>
      </x:c>
      <x:c r="F3" s="4" t="n">
        <x:v>2</x:v>
      </x:c>
      <x:c r="G3" s="28" t="n">
        <x:v>0.21597222222222223</x:v>
      </x:c>
      <x:c r="H3" s="4" t="str">
        <x:v>SERVICE-INBOUND-01</x:v>
      </x:c>
      <x:c r="I3" s="4" t="n">
        <x:v>16</x:v>
      </x:c>
    </x:row>
    <x:row r="4">
      <x:c r="A4" s="4" t="n">
        <x:v>3</x:v>
      </x:c>
      <x:c r="B4" s="28" t="n">
        <x:v>0.22708333333333333</x:v>
      </x:c>
      <x:c r="C4" s="4" t="str">
        <x:v>SERVICE-OUTBOUND-01</x:v>
      </x:c>
      <x:c r="D4" s="4" t="n">
        <x:v>16</x:v>
      </x:c>
      <x:c r="F4" s="4" t="n">
        <x:v>3</x:v>
      </x:c>
      <x:c r="G4" s="28" t="n">
        <x:v>0.22708333333333333</x:v>
      </x:c>
      <x:c r="H4" s="4" t="str">
        <x:v>SERVICE-INBOUND-01</x:v>
      </x:c>
      <x:c r="I4" s="4" t="n">
        <x:v>16</x:v>
      </x:c>
    </x:row>
    <x:row r="5">
      <x:c r="A5" s="4" t="n">
        <x:v>4</x:v>
      </x:c>
      <x:c r="B5" s="28" t="n">
        <x:v>0.23819444444444443</x:v>
      </x:c>
      <x:c r="C5" s="4" t="str">
        <x:v>SERVICE-OUTBOUND-01</x:v>
      </x:c>
      <x:c r="D5" s="4" t="n">
        <x:v>16</x:v>
      </x:c>
      <x:c r="F5" s="4" t="n">
        <x:v>4</x:v>
      </x:c>
      <x:c r="G5" s="28" t="n">
        <x:v>0.23819444444444443</x:v>
      </x:c>
      <x:c r="H5" s="4" t="str">
        <x:v>SERVICE-INBOUND-01</x:v>
      </x:c>
      <x:c r="I5" s="4" t="n">
        <x:v>16</x:v>
      </x:c>
    </x:row>
    <x:row r="6">
      <x:c r="A6" s="4" t="n">
        <x:v>5</x:v>
      </x:c>
      <x:c r="B6" s="28" t="n">
        <x:v>0.24930555555555556</x:v>
      </x:c>
      <x:c r="C6" s="4" t="str">
        <x:v>SERVICE-OUTBOUND-01</x:v>
      </x:c>
      <x:c r="D6" s="4" t="n">
        <x:v>16</x:v>
      </x:c>
      <x:c r="F6" s="4" t="n">
        <x:v>5</x:v>
      </x:c>
      <x:c r="G6" s="28" t="n">
        <x:v>0.24930555555555556</x:v>
      </x:c>
      <x:c r="H6" s="4" t="str">
        <x:v>SERVICE-INBOUND-01</x:v>
      </x:c>
      <x:c r="I6" s="4" t="n">
        <x:v>16</x:v>
      </x:c>
    </x:row>
    <x:row r="7">
      <x:c r="A7" s="29" t="n">
        <x:v>6</x:v>
      </x:c>
      <x:c r="B7" s="30" t="n">
        <x:v>0.25625</x:v>
      </x:c>
      <x:c r="C7" s="29" t="str">
        <x:v>SERVICE-OUTBOUND-02</x:v>
      </x:c>
      <x:c r="D7" s="29" t="n">
        <x:v>10</x:v>
      </x:c>
      <x:c r="F7" s="29" t="n">
        <x:v>6</x:v>
      </x:c>
      <x:c r="G7" s="30" t="n">
        <x:v>0.25555555555555554</x:v>
      </x:c>
      <x:c r="H7" s="29" t="str">
        <x:v>SERVICE-INBOUND-02</x:v>
      </x:c>
      <x:c r="I7" s="29" t="n">
        <x:v>9</x:v>
      </x:c>
    </x:row>
    <x:row r="8">
      <x:c r="A8" s="29" t="n">
        <x:v>7</x:v>
      </x:c>
      <x:c r="B8" s="30" t="n">
        <x:v>0.26319444444444445</x:v>
      </x:c>
      <x:c r="C8" s="29" t="str">
        <x:v>SERVICE-OUTBOUND-02</x:v>
      </x:c>
      <x:c r="D8" s="29" t="n">
        <x:v>10</x:v>
      </x:c>
      <x:c r="F8" s="29" t="n">
        <x:v>7</x:v>
      </x:c>
      <x:c r="G8" s="30" t="n">
        <x:v>0.26180555555555557</x:v>
      </x:c>
      <x:c r="H8" s="29" t="str">
        <x:v>SERVICE-INBOUND-02</x:v>
      </x:c>
      <x:c r="I8" s="29" t="n">
        <x:v>9</x:v>
      </x:c>
    </x:row>
    <x:row r="9">
      <x:c r="A9" s="29" t="n">
        <x:v>8</x:v>
      </x:c>
      <x:c r="B9" s="30" t="n">
        <x:v>0.2701388888888889</x:v>
      </x:c>
      <x:c r="C9" s="29" t="str">
        <x:v>SERVICE-OUTBOUND-02</x:v>
      </x:c>
      <x:c r="D9" s="29" t="n">
        <x:v>10</x:v>
      </x:c>
      <x:c r="F9" s="29" t="n">
        <x:v>8</x:v>
      </x:c>
      <x:c r="G9" s="30" t="n">
        <x:v>0.26805555555555555</x:v>
      </x:c>
      <x:c r="H9" s="29" t="str">
        <x:v>SERVICE-INBOUND-02</x:v>
      </x:c>
      <x:c r="I9" s="29" t="n">
        <x:v>9</x:v>
      </x:c>
    </x:row>
    <x:row r="10">
      <x:c r="A10" s="29" t="n">
        <x:v>9</x:v>
      </x:c>
      <x:c r="B10" s="30" t="n">
        <x:v>0.27708333333333335</x:v>
      </x:c>
      <x:c r="C10" s="29" t="str">
        <x:v>SERVICE-OUTBOUND-02</x:v>
      </x:c>
      <x:c r="D10" s="29" t="n">
        <x:v>10</x:v>
      </x:c>
      <x:c r="F10" s="29" t="n">
        <x:v>9</x:v>
      </x:c>
      <x:c r="G10" s="30" t="n">
        <x:v>0.2743055555555556</x:v>
      </x:c>
      <x:c r="H10" s="29" t="str">
        <x:v>SERVICE-INBOUND-02</x:v>
      </x:c>
      <x:c r="I10" s="29" t="n">
        <x:v>9</x:v>
      </x:c>
    </x:row>
    <x:row r="11">
      <x:c r="A11" s="29" t="n">
        <x:v>10</x:v>
      </x:c>
      <x:c r="B11" s="30" t="n">
        <x:v>0.28402777777777777</x:v>
      </x:c>
      <x:c r="C11" s="29" t="str">
        <x:v>SERVICE-OUTBOUND-02</x:v>
      </x:c>
      <x:c r="D11" s="29" t="n">
        <x:v>10</x:v>
      </x:c>
      <x:c r="F11" s="29" t="n">
        <x:v>10</x:v>
      </x:c>
      <x:c r="G11" s="30" t="n">
        <x:v>0.28055555555555556</x:v>
      </x:c>
      <x:c r="H11" s="29" t="str">
        <x:v>SERVICE-INBOUND-02</x:v>
      </x:c>
      <x:c r="I11" s="29" t="n">
        <x:v>9</x:v>
      </x:c>
    </x:row>
    <x:row r="12">
      <x:c r="A12" s="29" t="n">
        <x:v>11</x:v>
      </x:c>
      <x:c r="B12" s="30" t="n">
        <x:v>0.29097222222222224</x:v>
      </x:c>
      <x:c r="C12" s="29" t="str">
        <x:v>SERVICE-OUTBOUND-02</x:v>
      </x:c>
      <x:c r="D12" s="29" t="n">
        <x:v>10</x:v>
      </x:c>
      <x:c r="F12" s="29" t="n">
        <x:v>11</x:v>
      </x:c>
      <x:c r="G12" s="30" t="n">
        <x:v>0.28680555555555554</x:v>
      </x:c>
      <x:c r="H12" s="29" t="str">
        <x:v>SERVICE-INBOUND-02</x:v>
      </x:c>
      <x:c r="I12" s="29" t="n">
        <x:v>9</x:v>
      </x:c>
    </x:row>
    <x:row r="13">
      <x:c r="A13" s="29" t="n">
        <x:v>12</x:v>
      </x:c>
      <x:c r="B13" s="30" t="n">
        <x:v>0.29791666666666666</x:v>
      </x:c>
      <x:c r="C13" s="29" t="str">
        <x:v>SERVICE-OUTBOUND-02</x:v>
      </x:c>
      <x:c r="D13" s="29" t="n">
        <x:v>10</x:v>
      </x:c>
      <x:c r="F13" s="29" t="n">
        <x:v>12</x:v>
      </x:c>
      <x:c r="G13" s="30" t="n">
        <x:v>0.29305555555555557</x:v>
      </x:c>
      <x:c r="H13" s="29" t="str">
        <x:v>SERVICE-INBOUND-02</x:v>
      </x:c>
      <x:c r="I13" s="29" t="n">
        <x:v>9</x:v>
      </x:c>
    </x:row>
    <x:row r="14">
      <x:c r="A14" s="29" t="n">
        <x:v>13</x:v>
      </x:c>
      <x:c r="B14" s="30" t="n">
        <x:v>0.30486111111111114</x:v>
      </x:c>
      <x:c r="C14" s="29" t="str">
        <x:v>SERVICE-OUTBOUND-02</x:v>
      </x:c>
      <x:c r="D14" s="29" t="n">
        <x:v>10</x:v>
      </x:c>
      <x:c r="F14" s="29" t="n">
        <x:v>13</x:v>
      </x:c>
      <x:c r="G14" s="30" t="n">
        <x:v>0.29930555555555555</x:v>
      </x:c>
      <x:c r="H14" s="29" t="str">
        <x:v>SERVICE-INBOUND-02</x:v>
      </x:c>
      <x:c r="I14" s="29" t="n">
        <x:v>9</x:v>
      </x:c>
    </x:row>
    <x:row r="15">
      <x:c r="A15" s="29" t="n">
        <x:v>14</x:v>
      </x:c>
      <x:c r="B15" s="30" t="n">
        <x:v>0.31180555555555556</x:v>
      </x:c>
      <x:c r="C15" s="29" t="str">
        <x:v>SERVICE-OUTBOUND-02</x:v>
      </x:c>
      <x:c r="D15" s="29" t="n">
        <x:v>10</x:v>
      </x:c>
      <x:c r="F15" s="29" t="n">
        <x:v>14</x:v>
      </x:c>
      <x:c r="G15" s="30" t="n">
        <x:v>0.3055555555555556</x:v>
      </x:c>
      <x:c r="H15" s="29" t="str">
        <x:v>SERVICE-INBOUND-02</x:v>
      </x:c>
      <x:c r="I15" s="29" t="n">
        <x:v>9</x:v>
      </x:c>
    </x:row>
    <x:row r="16">
      <x:c r="A16" s="31" t="n">
        <x:v>15</x:v>
      </x:c>
      <x:c r="B16" s="32" t="n">
        <x:v>0.31875</x:v>
      </x:c>
      <x:c r="C16" s="31" t="str">
        <x:v>SERVICE-OUTBOUND-03</x:v>
      </x:c>
      <x:c r="D16" s="31" t="n">
        <x:v>10</x:v>
      </x:c>
      <x:c r="F16" s="29" t="n">
        <x:v>15</x:v>
      </x:c>
      <x:c r="G16" s="30" t="n">
        <x:v>0.31180555555555556</x:v>
      </x:c>
      <x:c r="H16" s="29" t="str">
        <x:v>SERVICE-INBOUND-02</x:v>
      </x:c>
      <x:c r="I16" s="29" t="n">
        <x:v>9</x:v>
      </x:c>
    </x:row>
    <x:row r="17">
      <x:c r="A17" s="31" t="n">
        <x:v>16</x:v>
      </x:c>
      <x:c r="B17" s="32" t="n">
        <x:v>0.3284722222222222</x:v>
      </x:c>
      <x:c r="C17" s="31" t="str">
        <x:v>SERVICE-OUTBOUND-03</x:v>
      </x:c>
      <x:c r="D17" s="31" t="n">
        <x:v>14</x:v>
      </x:c>
      <x:c r="F17" s="31" t="n">
        <x:v>16</x:v>
      </x:c>
      <x:c r="G17" s="32" t="n">
        <x:v>0.31805555555555554</x:v>
      </x:c>
      <x:c r="H17" s="31" t="str">
        <x:v>SERVICE-INBOUND-03</x:v>
      </x:c>
      <x:c r="I17" s="31" t="n">
        <x:v>9</x:v>
      </x:c>
    </x:row>
    <x:row r="18">
      <x:c r="A18" s="31" t="n">
        <x:v>17</x:v>
      </x:c>
      <x:c r="B18" s="32" t="n">
        <x:v>0.33819444444444446</x:v>
      </x:c>
      <x:c r="C18" s="31" t="str">
        <x:v>SERVICE-OUTBOUND-03</x:v>
      </x:c>
      <x:c r="D18" s="31" t="n">
        <x:v>14</x:v>
      </x:c>
      <x:c r="F18" s="31" t="n">
        <x:v>17</x:v>
      </x:c>
      <x:c r="G18" s="32" t="n">
        <x:v>0.3277777777777778</x:v>
      </x:c>
      <x:c r="H18" s="31" t="str">
        <x:v>SERVICE-INBOUND-03</x:v>
      </x:c>
      <x:c r="I18" s="31" t="n">
        <x:v>14</x:v>
      </x:c>
    </x:row>
    <x:row r="19">
      <x:c r="A19" s="31" t="n">
        <x:v>18</x:v>
      </x:c>
      <x:c r="B19" s="32" t="n">
        <x:v>0.34791666666666665</x:v>
      </x:c>
      <x:c r="C19" s="31" t="str">
        <x:v>SERVICE-OUTBOUND-03</x:v>
      </x:c>
      <x:c r="D19" s="31" t="n">
        <x:v>14</x:v>
      </x:c>
      <x:c r="F19" s="31" t="n">
        <x:v>18</x:v>
      </x:c>
      <x:c r="G19" s="32" t="n">
        <x:v>0.3375</x:v>
      </x:c>
      <x:c r="H19" s="31" t="str">
        <x:v>SERVICE-INBOUND-03</x:v>
      </x:c>
      <x:c r="I19" s="31" t="n">
        <x:v>14</x:v>
      </x:c>
    </x:row>
    <x:row r="20">
      <x:c r="A20" s="31" t="n">
        <x:v>19</x:v>
      </x:c>
      <x:c r="B20" s="32" t="n">
        <x:v>0.3576388888888889</x:v>
      </x:c>
      <x:c r="C20" s="31" t="str">
        <x:v>SERVICE-OUTBOUND-03</x:v>
      </x:c>
      <x:c r="D20" s="31" t="n">
        <x:v>14</x:v>
      </x:c>
      <x:c r="F20" s="31" t="n">
        <x:v>19</x:v>
      </x:c>
      <x:c r="G20" s="32" t="n">
        <x:v>0.3472222222222222</x:v>
      </x:c>
      <x:c r="H20" s="31" t="str">
        <x:v>SERVICE-INBOUND-03</x:v>
      </x:c>
      <x:c r="I20" s="31" t="n">
        <x:v>14</x:v>
      </x:c>
    </x:row>
    <x:row r="21">
      <x:c r="A21" s="31" t="n">
        <x:v>20</x:v>
      </x:c>
      <x:c r="B21" s="32" t="n">
        <x:v>0.36736111111111114</x:v>
      </x:c>
      <x:c r="C21" s="31" t="str">
        <x:v>SERVICE-OUTBOUND-03</x:v>
      </x:c>
      <x:c r="D21" s="31" t="n">
        <x:v>14</x:v>
      </x:c>
      <x:c r="F21" s="31" t="n">
        <x:v>20</x:v>
      </x:c>
      <x:c r="G21" s="32" t="n">
        <x:v>0.35694444444444445</x:v>
      </x:c>
      <x:c r="H21" s="31" t="str">
        <x:v>SERVICE-INBOUND-03</x:v>
      </x:c>
      <x:c r="I21" s="31" t="n">
        <x:v>14</x:v>
      </x:c>
    </x:row>
    <x:row r="22">
      <x:c r="A22" s="31" t="n">
        <x:v>21</x:v>
      </x:c>
      <x:c r="B22" s="32" t="n">
        <x:v>0.3770833333333333</x:v>
      </x:c>
      <x:c r="C22" s="31" t="str">
        <x:v>SERVICE-OUTBOUND-03</x:v>
      </x:c>
      <x:c r="D22" s="31" t="n">
        <x:v>14</x:v>
      </x:c>
      <x:c r="F22" s="31" t="n">
        <x:v>21</x:v>
      </x:c>
      <x:c r="G22" s="32" t="n">
        <x:v>0.36666666666666664</x:v>
      </x:c>
      <x:c r="H22" s="31" t="str">
        <x:v>SERVICE-INBOUND-03</x:v>
      </x:c>
      <x:c r="I22" s="31" t="n">
        <x:v>14</x:v>
      </x:c>
    </x:row>
    <x:row r="23">
      <x:c r="A23" s="31" t="n">
        <x:v>22</x:v>
      </x:c>
      <x:c r="B23" s="32" t="n">
        <x:v>0.38680555555555557</x:v>
      </x:c>
      <x:c r="C23" s="31" t="str">
        <x:v>SERVICE-OUTBOUND-03</x:v>
      </x:c>
      <x:c r="D23" s="31" t="n">
        <x:v>14</x:v>
      </x:c>
      <x:c r="F23" s="31" t="n">
        <x:v>22</x:v>
      </x:c>
      <x:c r="G23" s="32" t="n">
        <x:v>0.3763888888888889</x:v>
      </x:c>
      <x:c r="H23" s="31" t="str">
        <x:v>SERVICE-INBOUND-03</x:v>
      </x:c>
      <x:c r="I23" s="31" t="n">
        <x:v>14</x:v>
      </x:c>
    </x:row>
    <x:row r="24">
      <x:c r="A24" s="31" t="n">
        <x:v>23</x:v>
      </x:c>
      <x:c r="B24" s="32" t="n">
        <x:v>0.39652777777777776</x:v>
      </x:c>
      <x:c r="C24" s="31" t="str">
        <x:v>SERVICE-OUTBOUND-03</x:v>
      </x:c>
      <x:c r="D24" s="31" t="n">
        <x:v>14</x:v>
      </x:c>
      <x:c r="F24" s="31" t="n">
        <x:v>23</x:v>
      </x:c>
      <x:c r="G24" s="32" t="n">
        <x:v>0.3861111111111111</x:v>
      </x:c>
      <x:c r="H24" s="31" t="str">
        <x:v>SERVICE-INBOUND-03</x:v>
      </x:c>
      <x:c r="I24" s="31" t="n">
        <x:v>14</x:v>
      </x:c>
    </x:row>
    <x:row r="25">
      <x:c r="A25" s="31" t="n">
        <x:v>24</x:v>
      </x:c>
      <x:c r="B25" s="32" t="n">
        <x:v>0.40625</x:v>
      </x:c>
      <x:c r="C25" s="31" t="str">
        <x:v>SERVICE-OUTBOUND-03</x:v>
      </x:c>
      <x:c r="D25" s="31" t="n">
        <x:v>14</x:v>
      </x:c>
      <x:c r="F25" s="31" t="n">
        <x:v>24</x:v>
      </x:c>
      <x:c r="G25" s="32" t="n">
        <x:v>0.3958333333333333</x:v>
      </x:c>
      <x:c r="H25" s="31" t="str">
        <x:v>SERVICE-INBOUND-03</x:v>
      </x:c>
      <x:c r="I25" s="31" t="n">
        <x:v>14</x:v>
      </x:c>
    </x:row>
    <x:row r="26">
      <x:c r="A26" s="31" t="n">
        <x:v>25</x:v>
      </x:c>
      <x:c r="B26" s="32" t="n">
        <x:v>0.41597222222222224</x:v>
      </x:c>
      <x:c r="C26" s="31" t="str">
        <x:v>SERVICE-OUTBOUND-03</x:v>
      </x:c>
      <x:c r="D26" s="31" t="n">
        <x:v>14</x:v>
      </x:c>
      <x:c r="F26" s="31" t="n">
        <x:v>25</x:v>
      </x:c>
      <x:c r="G26" s="32" t="n">
        <x:v>0.40555555555555556</x:v>
      </x:c>
      <x:c r="H26" s="31" t="str">
        <x:v>SERVICE-INBOUND-03</x:v>
      </x:c>
      <x:c r="I26" s="31" t="n">
        <x:v>14</x:v>
      </x:c>
    </x:row>
    <x:row r="27">
      <x:c r="A27" s="31" t="n">
        <x:v>26</x:v>
      </x:c>
      <x:c r="B27" s="32" t="n">
        <x:v>0.42569444444444443</x:v>
      </x:c>
      <x:c r="C27" s="31" t="str">
        <x:v>SERVICE-OUTBOUND-03</x:v>
      </x:c>
      <x:c r="D27" s="31" t="n">
        <x:v>14</x:v>
      </x:c>
      <x:c r="F27" s="31" t="n">
        <x:v>26</x:v>
      </x:c>
      <x:c r="G27" s="32" t="n">
        <x:v>0.4152777777777778</x:v>
      </x:c>
      <x:c r="H27" s="31" t="str">
        <x:v>SERVICE-INBOUND-03</x:v>
      </x:c>
      <x:c r="I27" s="31" t="n">
        <x:v>14</x:v>
      </x:c>
    </x:row>
    <x:row r="28">
      <x:c r="A28" s="31" t="n">
        <x:v>27</x:v>
      </x:c>
      <x:c r="B28" s="32" t="n">
        <x:v>0.4354166666666667</x:v>
      </x:c>
      <x:c r="C28" s="31" t="str">
        <x:v>SERVICE-OUTBOUND-03</x:v>
      </x:c>
      <x:c r="D28" s="31" t="n">
        <x:v>14</x:v>
      </x:c>
      <x:c r="F28" s="31" t="n">
        <x:v>27</x:v>
      </x:c>
      <x:c r="G28" s="32" t="n">
        <x:v>0.425</x:v>
      </x:c>
      <x:c r="H28" s="31" t="str">
        <x:v>SERVICE-INBOUND-03</x:v>
      </x:c>
      <x:c r="I28" s="31" t="n">
        <x:v>14</x:v>
      </x:c>
    </x:row>
    <x:row r="29">
      <x:c r="A29" s="33" t="n">
        <x:v>28</x:v>
      </x:c>
      <x:c r="B29" s="34" t="n">
        <x:v>0.4423611111111111</x:v>
      </x:c>
      <x:c r="C29" s="33" t="str">
        <x:v>SERVICE-OUTBOUND-04</x:v>
      </x:c>
      <x:c r="D29" s="33" t="n">
        <x:v>10</x:v>
      </x:c>
      <x:c r="F29" s="31" t="n">
        <x:v>28</x:v>
      </x:c>
      <x:c r="G29" s="32" t="n">
        <x:v>0.43472222222222223</x:v>
      </x:c>
      <x:c r="H29" s="31" t="str">
        <x:v>SERVICE-INBOUND-03</x:v>
      </x:c>
      <x:c r="I29" s="31" t="n">
        <x:v>14</x:v>
      </x:c>
    </x:row>
    <x:row r="30">
      <x:c r="A30" s="33" t="n">
        <x:v>29</x:v>
      </x:c>
      <x:c r="B30" s="34" t="n">
        <x:v>0.44930555555555557</x:v>
      </x:c>
      <x:c r="C30" s="33" t="str">
        <x:v>SERVICE-OUTBOUND-04</x:v>
      </x:c>
      <x:c r="D30" s="33" t="n">
        <x:v>10</x:v>
      </x:c>
      <x:c r="F30" s="33" t="n">
        <x:v>29</x:v>
      </x:c>
      <x:c r="G30" s="34" t="n">
        <x:v>0.44166666666666665</x:v>
      </x:c>
      <x:c r="H30" s="33" t="str">
        <x:v>SERVICE-INBOUND-04</x:v>
      </x:c>
      <x:c r="I30" s="33" t="n">
        <x:v>10</x:v>
      </x:c>
    </x:row>
    <x:row r="31">
      <x:c r="A31" s="33" t="n">
        <x:v>30</x:v>
      </x:c>
      <x:c r="B31" s="34" t="n">
        <x:v>0.45625</x:v>
      </x:c>
      <x:c r="C31" s="33" t="str">
        <x:v>SERVICE-OUTBOUND-04</x:v>
      </x:c>
      <x:c r="D31" s="33" t="n">
        <x:v>10</x:v>
      </x:c>
      <x:c r="F31" s="33" t="n">
        <x:v>30</x:v>
      </x:c>
      <x:c r="G31" s="34" t="n">
        <x:v>0.4486111111111111</x:v>
      </x:c>
      <x:c r="H31" s="33" t="str">
        <x:v>SERVICE-INBOUND-04</x:v>
      </x:c>
      <x:c r="I31" s="33" t="n">
        <x:v>10</x:v>
      </x:c>
    </x:row>
    <x:row r="32">
      <x:c r="A32" s="33" t="n">
        <x:v>31</x:v>
      </x:c>
      <x:c r="B32" s="34" t="n">
        <x:v>0.46319444444444446</x:v>
      </x:c>
      <x:c r="C32" s="33" t="str">
        <x:v>SERVICE-OUTBOUND-04</x:v>
      </x:c>
      <x:c r="D32" s="33" t="n">
        <x:v>10</x:v>
      </x:c>
      <x:c r="F32" s="33" t="n">
        <x:v>31</x:v>
      </x:c>
      <x:c r="G32" s="34" t="n">
        <x:v>0.45555555555555555</x:v>
      </x:c>
      <x:c r="H32" s="33" t="str">
        <x:v>SERVICE-INBOUND-04</x:v>
      </x:c>
      <x:c r="I32" s="33" t="n">
        <x:v>10</x:v>
      </x:c>
    </x:row>
    <x:row r="33">
      <x:c r="A33" s="33" t="n">
        <x:v>32</x:v>
      </x:c>
      <x:c r="B33" s="34" t="n">
        <x:v>0.4701388888888889</x:v>
      </x:c>
      <x:c r="C33" s="33" t="str">
        <x:v>SERVICE-OUTBOUND-04</x:v>
      </x:c>
      <x:c r="D33" s="33" t="n">
        <x:v>10</x:v>
      </x:c>
      <x:c r="F33" s="33" t="n">
        <x:v>32</x:v>
      </x:c>
      <x:c r="G33" s="34" t="n">
        <x:v>0.4625</x:v>
      </x:c>
      <x:c r="H33" s="33" t="str">
        <x:v>SERVICE-INBOUND-04</x:v>
      </x:c>
      <x:c r="I33" s="33" t="n">
        <x:v>10</x:v>
      </x:c>
    </x:row>
    <x:row r="34">
      <x:c r="A34" s="33" t="n">
        <x:v>33</x:v>
      </x:c>
      <x:c r="B34" s="34" t="n">
        <x:v>0.47708333333333336</x:v>
      </x:c>
      <x:c r="C34" s="33" t="str">
        <x:v>SERVICE-OUTBOUND-04</x:v>
      </x:c>
      <x:c r="D34" s="33" t="n">
        <x:v>10</x:v>
      </x:c>
      <x:c r="F34" s="33" t="n">
        <x:v>33</x:v>
      </x:c>
      <x:c r="G34" s="34" t="n">
        <x:v>0.46944444444444444</x:v>
      </x:c>
      <x:c r="H34" s="33" t="str">
        <x:v>SERVICE-INBOUND-04</x:v>
      </x:c>
      <x:c r="I34" s="33" t="n">
        <x:v>10</x:v>
      </x:c>
    </x:row>
    <x:row r="35">
      <x:c r="A35" s="33" t="n">
        <x:v>34</x:v>
      </x:c>
      <x:c r="B35" s="34" t="n">
        <x:v>0.4840277777777778</x:v>
      </x:c>
      <x:c r="C35" s="33" t="str">
        <x:v>SERVICE-OUTBOUND-04</x:v>
      </x:c>
      <x:c r="D35" s="33" t="n">
        <x:v>10</x:v>
      </x:c>
      <x:c r="F35" s="33" t="n">
        <x:v>34</x:v>
      </x:c>
      <x:c r="G35" s="34" t="n">
        <x:v>0.47638888888888886</x:v>
      </x:c>
      <x:c r="H35" s="33" t="str">
        <x:v>SERVICE-INBOUND-04</x:v>
      </x:c>
      <x:c r="I35" s="33" t="n">
        <x:v>10</x:v>
      </x:c>
    </x:row>
    <x:row r="36">
      <x:c r="A36" s="33" t="n">
        <x:v>35</x:v>
      </x:c>
      <x:c r="B36" s="34" t="n">
        <x:v>0.4909722222222222</x:v>
      </x:c>
      <x:c r="C36" s="33" t="str">
        <x:v>SERVICE-OUTBOUND-04</x:v>
      </x:c>
      <x:c r="D36" s="33" t="n">
        <x:v>10</x:v>
      </x:c>
      <x:c r="F36" s="33" t="n">
        <x:v>35</x:v>
      </x:c>
      <x:c r="G36" s="34" t="n">
        <x:v>0.48333333333333334</x:v>
      </x:c>
      <x:c r="H36" s="33" t="str">
        <x:v>SERVICE-INBOUND-04</x:v>
      </x:c>
      <x:c r="I36" s="33" t="n">
        <x:v>10</x:v>
      </x:c>
    </x:row>
    <x:row r="37">
      <x:c r="A37" s="33" t="n">
        <x:v>36</x:v>
      </x:c>
      <x:c r="B37" s="34" t="n">
        <x:v>0.4979166666666667</x:v>
      </x:c>
      <x:c r="C37" s="33" t="str">
        <x:v>SERVICE-OUTBOUND-04</x:v>
      </x:c>
      <x:c r="D37" s="33" t="n">
        <x:v>10</x:v>
      </x:c>
      <x:c r="F37" s="33" t="n">
        <x:v>36</x:v>
      </x:c>
      <x:c r="G37" s="34" t="n">
        <x:v>0.49027777777777776</x:v>
      </x:c>
      <x:c r="H37" s="33" t="str">
        <x:v>SERVICE-INBOUND-04</x:v>
      </x:c>
      <x:c r="I37" s="33" t="n">
        <x:v>10</x:v>
      </x:c>
    </x:row>
    <x:row r="38">
      <x:c r="A38" s="4" t="n">
        <x:v>37</x:v>
      </x:c>
      <x:c r="B38" s="28" t="n">
        <x:v>0.5048611111111111</x:v>
      </x:c>
      <x:c r="C38" s="4" t="str">
        <x:v>SERVICE-OUTBOUND-05</x:v>
      </x:c>
      <x:c r="D38" s="4" t="n">
        <x:v>10</x:v>
      </x:c>
      <x:c r="F38" s="33" t="n">
        <x:v>37</x:v>
      </x:c>
      <x:c r="G38" s="34" t="n">
        <x:v>0.49722222222222223</x:v>
      </x:c>
      <x:c r="H38" s="33" t="str">
        <x:v>SERVICE-INBOUND-04</x:v>
      </x:c>
      <x:c r="I38" s="33" t="n">
        <x:v>10</x:v>
      </x:c>
    </x:row>
    <x:row r="39">
      <x:c r="A39" s="4" t="n">
        <x:v>38</x:v>
      </x:c>
      <x:c r="B39" s="28" t="n">
        <x:v>0.5152777777777777</x:v>
      </x:c>
      <x:c r="C39" s="4" t="str">
        <x:v>SERVICE-OUTBOUND-05</x:v>
      </x:c>
      <x:c r="D39" s="4" t="n">
        <x:v>15</x:v>
      </x:c>
      <x:c r="F39" s="4" t="n">
        <x:v>38</x:v>
      </x:c>
      <x:c r="G39" s="28" t="n">
        <x:v>0.5041666666666667</x:v>
      </x:c>
      <x:c r="H39" s="4" t="str">
        <x:v>SERVICE-INBOUND-05</x:v>
      </x:c>
      <x:c r="I39" s="4" t="n">
        <x:v>10</x:v>
      </x:c>
    </x:row>
    <x:row r="40">
      <x:c r="A40" s="4" t="n">
        <x:v>39</x:v>
      </x:c>
      <x:c r="B40" s="28" t="n">
        <x:v>0.5256944444444445</x:v>
      </x:c>
      <x:c r="C40" s="4" t="str">
        <x:v>SERVICE-OUTBOUND-05</x:v>
      </x:c>
      <x:c r="D40" s="4" t="n">
        <x:v>15</x:v>
      </x:c>
      <x:c r="F40" s="4" t="n">
        <x:v>39</x:v>
      </x:c>
      <x:c r="G40" s="28" t="n">
        <x:v>0.5145833333333333</x:v>
      </x:c>
      <x:c r="H40" s="4" t="str">
        <x:v>SERVICE-INBOUND-05</x:v>
      </x:c>
      <x:c r="I40" s="4" t="n">
        <x:v>15</x:v>
      </x:c>
    </x:row>
    <x:row r="41">
      <x:c r="A41" s="4" t="n">
        <x:v>40</x:v>
      </x:c>
      <x:c r="B41" s="28" t="n">
        <x:v>0.5361111111111111</x:v>
      </x:c>
      <x:c r="C41" s="4" t="str">
        <x:v>SERVICE-OUTBOUND-05</x:v>
      </x:c>
      <x:c r="D41" s="4" t="n">
        <x:v>15</x:v>
      </x:c>
      <x:c r="F41" s="4" t="n">
        <x:v>40</x:v>
      </x:c>
      <x:c r="G41" s="28" t="n">
        <x:v>0.525</x:v>
      </x:c>
      <x:c r="H41" s="4" t="str">
        <x:v>SERVICE-INBOUND-05</x:v>
      </x:c>
      <x:c r="I41" s="4" t="n">
        <x:v>15</x:v>
      </x:c>
    </x:row>
    <x:row r="42">
      <x:c r="A42" s="4" t="n">
        <x:v>41</x:v>
      </x:c>
      <x:c r="B42" s="28" t="n">
        <x:v>0.5465277777777777</x:v>
      </x:c>
      <x:c r="C42" s="4" t="str">
        <x:v>SERVICE-OUTBOUND-05</x:v>
      </x:c>
      <x:c r="D42" s="4" t="n">
        <x:v>15</x:v>
      </x:c>
      <x:c r="F42" s="4" t="n">
        <x:v>41</x:v>
      </x:c>
      <x:c r="G42" s="28" t="n">
        <x:v>0.5354166666666667</x:v>
      </x:c>
      <x:c r="H42" s="4" t="str">
        <x:v>SERVICE-INBOUND-05</x:v>
      </x:c>
      <x:c r="I42" s="4" t="n">
        <x:v>15</x:v>
      </x:c>
    </x:row>
    <x:row r="43">
      <x:c r="A43" s="4" t="n">
        <x:v>42</x:v>
      </x:c>
      <x:c r="B43" s="28" t="n">
        <x:v>0.5569444444444445</x:v>
      </x:c>
      <x:c r="C43" s="4" t="str">
        <x:v>SERVICE-OUTBOUND-05</x:v>
      </x:c>
      <x:c r="D43" s="4" t="n">
        <x:v>15</x:v>
      </x:c>
      <x:c r="F43" s="4" t="n">
        <x:v>42</x:v>
      </x:c>
      <x:c r="G43" s="28" t="n">
        <x:v>0.5458333333333333</x:v>
      </x:c>
      <x:c r="H43" s="4" t="str">
        <x:v>SERVICE-INBOUND-05</x:v>
      </x:c>
      <x:c r="I43" s="4" t="n">
        <x:v>15</x:v>
      </x:c>
    </x:row>
    <x:row r="44">
      <x:c r="A44" s="4" t="n">
        <x:v>43</x:v>
      </x:c>
      <x:c r="B44" s="28" t="n">
        <x:v>0.5673611111111111</x:v>
      </x:c>
      <x:c r="C44" s="4" t="str">
        <x:v>SERVICE-OUTBOUND-05</x:v>
      </x:c>
      <x:c r="D44" s="4" t="n">
        <x:v>15</x:v>
      </x:c>
      <x:c r="F44" s="4" t="n">
        <x:v>43</x:v>
      </x:c>
      <x:c r="G44" s="28" t="n">
        <x:v>0.55625</x:v>
      </x:c>
      <x:c r="H44" s="4" t="str">
        <x:v>SERVICE-INBOUND-05</x:v>
      </x:c>
      <x:c r="I44" s="4" t="n">
        <x:v>15</x:v>
      </x:c>
    </x:row>
    <x:row r="45">
      <x:c r="A45" s="4" t="n">
        <x:v>44</x:v>
      </x:c>
      <x:c r="B45" s="28" t="n">
        <x:v>0.5777777777777777</x:v>
      </x:c>
      <x:c r="C45" s="4" t="str">
        <x:v>SERVICE-OUTBOUND-05</x:v>
      </x:c>
      <x:c r="D45" s="4" t="n">
        <x:v>15</x:v>
      </x:c>
      <x:c r="F45" s="4" t="n">
        <x:v>44</x:v>
      </x:c>
      <x:c r="G45" s="28" t="n">
        <x:v>0.5666666666666667</x:v>
      </x:c>
      <x:c r="H45" s="4" t="str">
        <x:v>SERVICE-INBOUND-05</x:v>
      </x:c>
      <x:c r="I45" s="4" t="n">
        <x:v>15</x:v>
      </x:c>
    </x:row>
    <x:row r="46">
      <x:c r="A46" s="4" t="n">
        <x:v>45</x:v>
      </x:c>
      <x:c r="B46" s="28" t="n">
        <x:v>0.5881944444444445</x:v>
      </x:c>
      <x:c r="C46" s="4" t="str">
        <x:v>SERVICE-OUTBOUND-05</x:v>
      </x:c>
      <x:c r="D46" s="4" t="n">
        <x:v>15</x:v>
      </x:c>
      <x:c r="F46" s="4" t="n">
        <x:v>45</x:v>
      </x:c>
      <x:c r="G46" s="28" t="n">
        <x:v>0.5770833333333333</x:v>
      </x:c>
      <x:c r="H46" s="4" t="str">
        <x:v>SERVICE-INBOUND-05</x:v>
      </x:c>
      <x:c r="I46" s="4" t="n">
        <x:v>15</x:v>
      </x:c>
    </x:row>
    <x:row r="47">
      <x:c r="A47" s="4" t="n">
        <x:v>46</x:v>
      </x:c>
      <x:c r="B47" s="28" t="n">
        <x:v>0.5986111111111111</x:v>
      </x:c>
      <x:c r="C47" s="4" t="str">
        <x:v>SERVICE-OUTBOUND-05</x:v>
      </x:c>
      <x:c r="D47" s="4" t="n">
        <x:v>15</x:v>
      </x:c>
      <x:c r="F47" s="4" t="n">
        <x:v>46</x:v>
      </x:c>
      <x:c r="G47" s="28" t="n">
        <x:v>0.5875</x:v>
      </x:c>
      <x:c r="H47" s="4" t="str">
        <x:v>SERVICE-INBOUND-05</x:v>
      </x:c>
      <x:c r="I47" s="4" t="n">
        <x:v>15</x:v>
      </x:c>
    </x:row>
    <x:row r="48">
      <x:c r="A48" s="4" t="n">
        <x:v>47</x:v>
      </x:c>
      <x:c r="B48" s="28" t="n">
        <x:v>0.6090277777777777</x:v>
      </x:c>
      <x:c r="C48" s="4" t="str">
        <x:v>SERVICE-OUTBOUND-05</x:v>
      </x:c>
      <x:c r="D48" s="4" t="n">
        <x:v>15</x:v>
      </x:c>
      <x:c r="F48" s="4" t="n">
        <x:v>47</x:v>
      </x:c>
      <x:c r="G48" s="28" t="n">
        <x:v>0.5979166666666667</x:v>
      </x:c>
      <x:c r="H48" s="4" t="str">
        <x:v>SERVICE-INBOUND-05</x:v>
      </x:c>
      <x:c r="I48" s="4" t="n">
        <x:v>15</x:v>
      </x:c>
    </x:row>
    <x:row r="49">
      <x:c r="A49" s="4" t="n">
        <x:v>48</x:v>
      </x:c>
      <x:c r="B49" s="28" t="n">
        <x:v>0.6194444444444445</x:v>
      </x:c>
      <x:c r="C49" s="4" t="str">
        <x:v>SERVICE-OUTBOUND-05</x:v>
      </x:c>
      <x:c r="D49" s="4" t="n">
        <x:v>15</x:v>
      </x:c>
      <x:c r="F49" s="4" t="n">
        <x:v>48</x:v>
      </x:c>
      <x:c r="G49" s="28" t="n">
        <x:v>0.6083333333333333</x:v>
      </x:c>
      <x:c r="H49" s="4" t="str">
        <x:v>SERVICE-INBOUND-05</x:v>
      </x:c>
      <x:c r="I49" s="4" t="n">
        <x:v>15</x:v>
      </x:c>
    </x:row>
    <x:row r="50">
      <x:c r="A50" s="4" t="n">
        <x:v>49</x:v>
      </x:c>
      <x:c r="B50" s="28" t="n">
        <x:v>0.6298611111111111</x:v>
      </x:c>
      <x:c r="C50" s="4" t="str">
        <x:v>SERVICE-OUTBOUND-05</x:v>
      </x:c>
      <x:c r="D50" s="4" t="n">
        <x:v>15</x:v>
      </x:c>
      <x:c r="F50" s="4" t="n">
        <x:v>49</x:v>
      </x:c>
      <x:c r="G50" s="28" t="n">
        <x:v>0.61875</x:v>
      </x:c>
      <x:c r="H50" s="4" t="str">
        <x:v>SERVICE-INBOUND-05</x:v>
      </x:c>
      <x:c r="I50" s="4" t="n">
        <x:v>15</x:v>
      </x:c>
    </x:row>
    <x:row r="51">
      <x:c r="A51" s="4" t="n">
        <x:v>50</x:v>
      </x:c>
      <x:c r="B51" s="28" t="n">
        <x:v>0.6402777777777777</x:v>
      </x:c>
      <x:c r="C51" s="4" t="str">
        <x:v>SERVICE-OUTBOUND-05</x:v>
      </x:c>
      <x:c r="D51" s="4" t="n">
        <x:v>15</x:v>
      </x:c>
      <x:c r="F51" s="4" t="n">
        <x:v>50</x:v>
      </x:c>
      <x:c r="G51" s="28" t="n">
        <x:v>0.6291666666666667</x:v>
      </x:c>
      <x:c r="H51" s="4" t="str">
        <x:v>SERVICE-INBOUND-05</x:v>
      </x:c>
      <x:c r="I51" s="4" t="n">
        <x:v>15</x:v>
      </x:c>
    </x:row>
    <x:row r="52">
      <x:c r="A52" s="4" t="n">
        <x:v>51</x:v>
      </x:c>
      <x:c r="B52" s="28" t="n">
        <x:v>0.6506944444444445</x:v>
      </x:c>
      <x:c r="C52" s="4" t="str">
        <x:v>SERVICE-OUTBOUND-05</x:v>
      </x:c>
      <x:c r="D52" s="4" t="n">
        <x:v>15</x:v>
      </x:c>
      <x:c r="F52" s="4" t="n">
        <x:v>51</x:v>
      </x:c>
      <x:c r="G52" s="28" t="n">
        <x:v>0.6395833333333333</x:v>
      </x:c>
      <x:c r="H52" s="4" t="str">
        <x:v>SERVICE-INBOUND-05</x:v>
      </x:c>
      <x:c r="I52" s="4" t="n">
        <x:v>15</x:v>
      </x:c>
    </x:row>
    <x:row r="53">
      <x:c r="A53" s="4" t="n">
        <x:v>52</x:v>
      </x:c>
      <x:c r="B53" s="28" t="n">
        <x:v>0.6611111111111111</x:v>
      </x:c>
      <x:c r="C53" s="4" t="str">
        <x:v>SERVICE-OUTBOUND-05</x:v>
      </x:c>
      <x:c r="D53" s="4" t="n">
        <x:v>15</x:v>
      </x:c>
      <x:c r="F53" s="4" t="n">
        <x:v>52</x:v>
      </x:c>
      <x:c r="G53" s="28" t="n">
        <x:v>0.65</x:v>
      </x:c>
      <x:c r="H53" s="4" t="str">
        <x:v>SERVICE-INBOUND-05</x:v>
      </x:c>
      <x:c r="I53" s="4" t="n">
        <x:v>15</x:v>
      </x:c>
    </x:row>
    <x:row r="54">
      <x:c r="A54" s="29" t="n">
        <x:v>53</x:v>
      </x:c>
      <x:c r="B54" s="30" t="n">
        <x:v>0.6715277777777777</x:v>
      </x:c>
      <x:c r="C54" s="29" t="str">
        <x:v>SERVICE-OUTBOUND-06</x:v>
      </x:c>
      <x:c r="D54" s="29" t="n">
        <x:v>15</x:v>
      </x:c>
      <x:c r="F54" s="4" t="n">
        <x:v>53</x:v>
      </x:c>
      <x:c r="G54" s="28" t="n">
        <x:v>0.6604166666666667</x:v>
      </x:c>
      <x:c r="H54" s="4" t="str">
        <x:v>SERVICE-INBOUND-05</x:v>
      </x:c>
      <x:c r="I54" s="4" t="n">
        <x:v>15</x:v>
      </x:c>
    </x:row>
    <x:row r="55">
      <x:c r="A55" s="29" t="n">
        <x:v>54</x:v>
      </x:c>
      <x:c r="B55" s="30" t="n">
        <x:v>0.6770833333333334</x:v>
      </x:c>
      <x:c r="C55" s="29" t="str">
        <x:v>SERVICE-OUTBOUND-06</x:v>
      </x:c>
      <x:c r="D55" s="29" t="n">
        <x:v>8</x:v>
      </x:c>
      <x:c r="F55" s="29" t="n">
        <x:v>54</x:v>
      </x:c>
      <x:c r="G55" s="30" t="n">
        <x:v>0.6666666666666666</x:v>
      </x:c>
      <x:c r="H55" s="29" t="str">
        <x:v>SERVICE-INBOUND-06</x:v>
      </x:c>
      <x:c r="I55" s="29" t="n">
        <x:v>9</x:v>
      </x:c>
    </x:row>
    <x:row r="56">
      <x:c r="A56" s="29" t="n">
        <x:v>55</x:v>
      </x:c>
      <x:c r="B56" s="30" t="n">
        <x:v>0.6826388888888889</x:v>
      </x:c>
      <x:c r="C56" s="29" t="str">
        <x:v>SERVICE-OUTBOUND-06</x:v>
      </x:c>
      <x:c r="D56" s="29" t="n">
        <x:v>8</x:v>
      </x:c>
      <x:c r="F56" s="29" t="n">
        <x:v>55</x:v>
      </x:c>
      <x:c r="G56" s="30" t="n">
        <x:v>0.6729166666666667</x:v>
      </x:c>
      <x:c r="H56" s="29" t="str">
        <x:v>SERVICE-INBOUND-06</x:v>
      </x:c>
      <x:c r="I56" s="29" t="n">
        <x:v>9</x:v>
      </x:c>
    </x:row>
    <x:row r="57">
      <x:c r="A57" s="29" t="n">
        <x:v>56</x:v>
      </x:c>
      <x:c r="B57" s="30" t="n">
        <x:v>0.6881944444444444</x:v>
      </x:c>
      <x:c r="C57" s="29" t="str">
        <x:v>SERVICE-OUTBOUND-06</x:v>
      </x:c>
      <x:c r="D57" s="29" t="n">
        <x:v>8</x:v>
      </x:c>
      <x:c r="F57" s="29" t="n">
        <x:v>56</x:v>
      </x:c>
      <x:c r="G57" s="30" t="n">
        <x:v>0.6791666666666667</x:v>
      </x:c>
      <x:c r="H57" s="29" t="str">
        <x:v>SERVICE-INBOUND-06</x:v>
      </x:c>
      <x:c r="I57" s="29" t="n">
        <x:v>9</x:v>
      </x:c>
    </x:row>
    <x:row r="58">
      <x:c r="A58" s="29" t="n">
        <x:v>57</x:v>
      </x:c>
      <x:c r="B58" s="30" t="n">
        <x:v>0.69375</x:v>
      </x:c>
      <x:c r="C58" s="29" t="str">
        <x:v>SERVICE-OUTBOUND-06</x:v>
      </x:c>
      <x:c r="D58" s="29" t="n">
        <x:v>8</x:v>
      </x:c>
      <x:c r="F58" s="29" t="n">
        <x:v>57</x:v>
      </x:c>
      <x:c r="G58" s="30" t="n">
        <x:v>0.6854166666666667</x:v>
      </x:c>
      <x:c r="H58" s="29" t="str">
        <x:v>SERVICE-INBOUND-06</x:v>
      </x:c>
      <x:c r="I58" s="29" t="n">
        <x:v>9</x:v>
      </x:c>
    </x:row>
    <x:row r="59">
      <x:c r="A59" s="29" t="n">
        <x:v>58</x:v>
      </x:c>
      <x:c r="B59" s="30" t="n">
        <x:v>0.6993055555555555</x:v>
      </x:c>
      <x:c r="C59" s="29" t="str">
        <x:v>SERVICE-OUTBOUND-06</x:v>
      </x:c>
      <x:c r="D59" s="29" t="n">
        <x:v>8</x:v>
      </x:c>
      <x:c r="F59" s="29" t="n">
        <x:v>58</x:v>
      </x:c>
      <x:c r="G59" s="30" t="n">
        <x:v>0.6916666666666667</x:v>
      </x:c>
      <x:c r="H59" s="29" t="str">
        <x:v>SERVICE-INBOUND-06</x:v>
      </x:c>
      <x:c r="I59" s="29" t="n">
        <x:v>9</x:v>
      </x:c>
    </x:row>
    <x:row r="60">
      <x:c r="A60" s="29" t="n">
        <x:v>59</x:v>
      </x:c>
      <x:c r="B60" s="30" t="n">
        <x:v>0.7048611111111112</x:v>
      </x:c>
      <x:c r="C60" s="29" t="str">
        <x:v>SERVICE-OUTBOUND-06</x:v>
      </x:c>
      <x:c r="D60" s="29" t="n">
        <x:v>8</x:v>
      </x:c>
      <x:c r="F60" s="29" t="n">
        <x:v>59</x:v>
      </x:c>
      <x:c r="G60" s="30" t="n">
        <x:v>0.6979166666666666</x:v>
      </x:c>
      <x:c r="H60" s="29" t="str">
        <x:v>SERVICE-INBOUND-06</x:v>
      </x:c>
      <x:c r="I60" s="29" t="n">
        <x:v>9</x:v>
      </x:c>
    </x:row>
    <x:row r="61">
      <x:c r="A61" s="29" t="n">
        <x:v>60</x:v>
      </x:c>
      <x:c r="B61" s="30" t="n">
        <x:v>0.7104166666666667</x:v>
      </x:c>
      <x:c r="C61" s="29" t="str">
        <x:v>SERVICE-OUTBOUND-06</x:v>
      </x:c>
      <x:c r="D61" s="29" t="n">
        <x:v>8</x:v>
      </x:c>
      <x:c r="F61" s="29" t="n">
        <x:v>60</x:v>
      </x:c>
      <x:c r="G61" s="30" t="n">
        <x:v>0.7041666666666667</x:v>
      </x:c>
      <x:c r="H61" s="29" t="str">
        <x:v>SERVICE-INBOUND-06</x:v>
      </x:c>
      <x:c r="I61" s="29" t="n">
        <x:v>9</x:v>
      </x:c>
    </x:row>
    <x:row r="62">
      <x:c r="A62" s="29" t="n">
        <x:v>61</x:v>
      </x:c>
      <x:c r="B62" s="30" t="n">
        <x:v>0.7159722222222222</x:v>
      </x:c>
      <x:c r="C62" s="29" t="str">
        <x:v>SERVICE-OUTBOUND-06</x:v>
      </x:c>
      <x:c r="D62" s="29" t="n">
        <x:v>8</x:v>
      </x:c>
      <x:c r="F62" s="29" t="n">
        <x:v>61</x:v>
      </x:c>
      <x:c r="G62" s="30" t="n">
        <x:v>0.7104166666666667</x:v>
      </x:c>
      <x:c r="H62" s="29" t="str">
        <x:v>SERVICE-INBOUND-06</x:v>
      </x:c>
      <x:c r="I62" s="29" t="n">
        <x:v>9</x:v>
      </x:c>
    </x:row>
    <x:row r="63">
      <x:c r="A63" s="29" t="n">
        <x:v>62</x:v>
      </x:c>
      <x:c r="B63" s="30" t="n">
        <x:v>0.7215277777777778</x:v>
      </x:c>
      <x:c r="C63" s="29" t="str">
        <x:v>SERVICE-OUTBOUND-06</x:v>
      </x:c>
      <x:c r="D63" s="29" t="n">
        <x:v>8</x:v>
      </x:c>
      <x:c r="F63" s="29" t="n">
        <x:v>62</x:v>
      </x:c>
      <x:c r="G63" s="30" t="n">
        <x:v>0.7166666666666667</x:v>
      </x:c>
      <x:c r="H63" s="29" t="str">
        <x:v>SERVICE-INBOUND-06</x:v>
      </x:c>
      <x:c r="I63" s="29" t="n">
        <x:v>9</x:v>
      </x:c>
    </x:row>
    <x:row r="64">
      <x:c r="A64" s="29" t="n">
        <x:v>63</x:v>
      </x:c>
      <x:c r="B64" s="30" t="n">
        <x:v>0.7270833333333333</x:v>
      </x:c>
      <x:c r="C64" s="29" t="str">
        <x:v>SERVICE-OUTBOUND-06</x:v>
      </x:c>
      <x:c r="D64" s="29" t="n">
        <x:v>8</x:v>
      </x:c>
      <x:c r="F64" s="29" t="n">
        <x:v>63</x:v>
      </x:c>
      <x:c r="G64" s="30" t="n">
        <x:v>0.7229166666666667</x:v>
      </x:c>
      <x:c r="H64" s="29" t="str">
        <x:v>SERVICE-INBOUND-06</x:v>
      </x:c>
      <x:c r="I64" s="29" t="n">
        <x:v>9</x:v>
      </x:c>
    </x:row>
    <x:row r="65">
      <x:c r="A65" s="31" t="n">
        <x:v>64</x:v>
      </x:c>
      <x:c r="B65" s="32" t="n">
        <x:v>0.7326388888888888</x:v>
      </x:c>
      <x:c r="C65" s="31" t="str">
        <x:v>SERVICE-OUTBOUND-07</x:v>
      </x:c>
      <x:c r="D65" s="31" t="n">
        <x:v>8</x:v>
      </x:c>
      <x:c r="F65" s="31" t="n">
        <x:v>64</x:v>
      </x:c>
      <x:c r="G65" s="32" t="n">
        <x:v>0.7291666666666666</x:v>
      </x:c>
      <x:c r="H65" s="31" t="str">
        <x:v>SERVICE-INBOUND-07</x:v>
      </x:c>
      <x:c r="I65" s="31" t="n">
        <x:v>9</x:v>
      </x:c>
    </x:row>
    <x:row r="66">
      <x:c r="A66" s="31" t="n">
        <x:v>65</x:v>
      </x:c>
      <x:c r="B66" s="32" t="n">
        <x:v>0.7423611111111111</x:v>
      </x:c>
      <x:c r="C66" s="31" t="str">
        <x:v>SERVICE-OUTBOUND-07</x:v>
      </x:c>
      <x:c r="D66" s="31" t="n">
        <x:v>14</x:v>
      </x:c>
      <x:c r="F66" s="31" t="n">
        <x:v>65</x:v>
      </x:c>
      <x:c r="G66" s="32" t="n">
        <x:v>0.7395833333333334</x:v>
      </x:c>
      <x:c r="H66" s="31" t="str">
        <x:v>SERVICE-INBOUND-07</x:v>
      </x:c>
      <x:c r="I66" s="31" t="n">
        <x:v>15</x:v>
      </x:c>
    </x:row>
    <x:row r="67">
      <x:c r="A67" s="31" t="n">
        <x:v>66</x:v>
      </x:c>
      <x:c r="B67" s="32" t="n">
        <x:v>0.7520833333333333</x:v>
      </x:c>
      <x:c r="C67" s="31" t="str">
        <x:v>SERVICE-OUTBOUND-07</x:v>
      </x:c>
      <x:c r="D67" s="31" t="n">
        <x:v>14</x:v>
      </x:c>
      <x:c r="F67" s="31" t="n">
        <x:v>66</x:v>
      </x:c>
      <x:c r="G67" s="32" t="n">
        <x:v>0.75</x:v>
      </x:c>
      <x:c r="H67" s="31" t="str">
        <x:v>SERVICE-INBOUND-07</x:v>
      </x:c>
      <x:c r="I67" s="31" t="n">
        <x:v>15</x:v>
      </x:c>
    </x:row>
    <x:row r="68">
      <x:c r="A68" s="31" t="n">
        <x:v>67</x:v>
      </x:c>
      <x:c r="B68" s="32" t="n">
        <x:v>0.7618055555555555</x:v>
      </x:c>
      <x:c r="C68" s="31" t="str">
        <x:v>SERVICE-OUTBOUND-07</x:v>
      </x:c>
      <x:c r="D68" s="31" t="n">
        <x:v>14</x:v>
      </x:c>
      <x:c r="F68" s="31" t="n">
        <x:v>67</x:v>
      </x:c>
      <x:c r="G68" s="32" t="n">
        <x:v>0.7604166666666666</x:v>
      </x:c>
      <x:c r="H68" s="31" t="str">
        <x:v>SERVICE-INBOUND-07</x:v>
      </x:c>
      <x:c r="I68" s="31" t="n">
        <x:v>15</x:v>
      </x:c>
    </x:row>
    <x:row r="69">
      <x:c r="A69" s="31" t="n">
        <x:v>68</x:v>
      </x:c>
      <x:c r="B69" s="32" t="n">
        <x:v>0.7715277777777778</x:v>
      </x:c>
      <x:c r="C69" s="31" t="str">
        <x:v>SERVICE-OUTBOUND-07</x:v>
      </x:c>
      <x:c r="D69" s="31" t="n">
        <x:v>14</x:v>
      </x:c>
      <x:c r="F69" s="31" t="n">
        <x:v>68</x:v>
      </x:c>
      <x:c r="G69" s="32" t="n">
        <x:v>0.7708333333333334</x:v>
      </x:c>
      <x:c r="H69" s="31" t="str">
        <x:v>SERVICE-INBOUND-07</x:v>
      </x:c>
      <x:c r="I69" s="31" t="n">
        <x:v>15</x:v>
      </x:c>
    </x:row>
    <x:row r="70">
      <x:c r="A70" s="31" t="n">
        <x:v>69</x:v>
      </x:c>
      <x:c r="B70" s="32" t="n">
        <x:v>0.78125</x:v>
      </x:c>
      <x:c r="C70" s="31" t="str">
        <x:v>SERVICE-OUTBOUND-07</x:v>
      </x:c>
      <x:c r="D70" s="31" t="n">
        <x:v>14</x:v>
      </x:c>
      <x:c r="F70" s="31" t="n">
        <x:v>69</x:v>
      </x:c>
      <x:c r="G70" s="32" t="n">
        <x:v>0.78125</x:v>
      </x:c>
      <x:c r="H70" s="31" t="str">
        <x:v>SERVICE-INBOUND-07</x:v>
      </x:c>
      <x:c r="I70" s="31" t="n">
        <x:v>15</x:v>
      </x:c>
    </x:row>
    <x:row r="71">
      <x:c r="A71" s="33" t="n">
        <x:v>70</x:v>
      </x:c>
      <x:c r="B71" s="34" t="n">
        <x:v>0.7916666666666666</x:v>
      </x:c>
      <x:c r="C71" s="33" t="str">
        <x:v>SERVICE-OUTBOUND-08</x:v>
      </x:c>
      <x:c r="D71" s="33" t="n">
        <x:v>15</x:v>
      </x:c>
      <x:c r="F71" s="31" t="n">
        <x:v>70</x:v>
      </x:c>
      <x:c r="G71" s="32" t="n">
        <x:v>0.7916666666666666</x:v>
      </x:c>
      <x:c r="H71" s="31" t="str">
        <x:v>SERVICE-INBOUND-07</x:v>
      </x:c>
      <x:c r="I71" s="31" t="n">
        <x:v>15</x:v>
      </x:c>
    </x:row>
    <x:row r="72">
      <x:c r="A72" s="33" t="n">
        <x:v>71</x:v>
      </x:c>
      <x:c r="B72" s="34" t="n">
        <x:v>0.8020833333333334</x:v>
      </x:c>
      <x:c r="C72" s="33" t="str">
        <x:v>SERVICE-OUTBOUND-08</x:v>
      </x:c>
      <x:c r="D72" s="33" t="n">
        <x:v>15</x:v>
      </x:c>
      <x:c r="F72" s="31" t="n">
        <x:v>71</x:v>
      </x:c>
      <x:c r="G72" s="32" t="n">
        <x:v>0.8020833333333334</x:v>
      </x:c>
      <x:c r="H72" s="31" t="str">
        <x:v>SERVICE-INBOUND-07</x:v>
      </x:c>
      <x:c r="I72" s="31" t="n">
        <x:v>15</x:v>
      </x:c>
    </x:row>
    <x:row r="73">
      <x:c r="A73" s="33" t="n">
        <x:v>72</x:v>
      </x:c>
      <x:c r="B73" s="34" t="n">
        <x:v>0.8125</x:v>
      </x:c>
      <x:c r="C73" s="33" t="str">
        <x:v>SERVICE-OUTBOUND-08</x:v>
      </x:c>
      <x:c r="D73" s="33" t="n">
        <x:v>15</x:v>
      </x:c>
      <x:c r="F73" s="31" t="n">
        <x:v>72</x:v>
      </x:c>
      <x:c r="G73" s="32" t="n">
        <x:v>0.8125</x:v>
      </x:c>
      <x:c r="H73" s="31" t="str">
        <x:v>SERVICE-INBOUND-07</x:v>
      </x:c>
      <x:c r="I73" s="31" t="n">
        <x:v>15</x:v>
      </x:c>
    </x:row>
    <x:row r="74">
      <x:c r="A74" s="33" t="n">
        <x:v>73</x:v>
      </x:c>
      <x:c r="B74" s="34" t="n">
        <x:v>0.8229166666666666</x:v>
      </x:c>
      <x:c r="C74" s="33" t="str">
        <x:v>SERVICE-OUTBOUND-08</x:v>
      </x:c>
      <x:c r="D74" s="33" t="n">
        <x:v>15</x:v>
      </x:c>
      <x:c r="F74" s="31" t="n">
        <x:v>73</x:v>
      </x:c>
      <x:c r="G74" s="32" t="n">
        <x:v>0.8229166666666666</x:v>
      </x:c>
      <x:c r="H74" s="31" t="str">
        <x:v>SERVICE-INBOUND-07</x:v>
      </x:c>
      <x:c r="I74" s="31" t="n">
        <x:v>15</x:v>
      </x:c>
    </x:row>
    <x:row r="75">
      <x:c r="A75" s="33" t="n">
        <x:v>74</x:v>
      </x:c>
      <x:c r="B75" s="34" t="n">
        <x:v>0.8333333333333334</x:v>
      </x:c>
      <x:c r="C75" s="33" t="str">
        <x:v>SERVICE-OUTBOUND-08</x:v>
      </x:c>
      <x:c r="D75" s="33" t="n">
        <x:v>15</x:v>
      </x:c>
      <x:c r="F75" s="31" t="n">
        <x:v>74</x:v>
      </x:c>
      <x:c r="G75" s="32" t="n">
        <x:v>0.8333333333333334</x:v>
      </x:c>
      <x:c r="H75" s="31" t="str">
        <x:v>SERVICE-INBOUND-07</x:v>
      </x:c>
      <x:c r="I75" s="31" t="n">
        <x:v>15</x:v>
      </x:c>
    </x:row>
    <x:row r="76">
      <x:c r="A76" s="33" t="n">
        <x:v>75</x:v>
      </x:c>
      <x:c r="B76" s="34" t="n">
        <x:v>0.84375</x:v>
      </x:c>
      <x:c r="C76" s="33" t="str">
        <x:v>SERVICE-OUTBOUND-08</x:v>
      </x:c>
      <x:c r="D76" s="33" t="n">
        <x:v>15</x:v>
      </x:c>
      <x:c r="F76" s="31" t="n">
        <x:v>75</x:v>
      </x:c>
      <x:c r="G76" s="32" t="n">
        <x:v>0.84375</x:v>
      </x:c>
      <x:c r="H76" s="31" t="str">
        <x:v>SERVICE-INBOUND-07</x:v>
      </x:c>
      <x:c r="I76" s="31" t="n">
        <x:v>15</x:v>
      </x:c>
    </x:row>
    <x:row r="77">
      <x:c r="A77" s="33" t="n">
        <x:v>76</x:v>
      </x:c>
      <x:c r="B77" s="34" t="n">
        <x:v>0.8541666666666666</x:v>
      </x:c>
      <x:c r="C77" s="33" t="str">
        <x:v>SERVICE-OUTBOUND-08</x:v>
      </x:c>
      <x:c r="D77" s="33" t="n">
        <x:v>15</x:v>
      </x:c>
      <x:c r="F77" s="31" t="n">
        <x:v>76</x:v>
      </x:c>
      <x:c r="G77" s="32" t="n">
        <x:v>0.8541666666666666</x:v>
      </x:c>
      <x:c r="H77" s="31" t="str">
        <x:v>SERVICE-INBOUND-07</x:v>
      </x:c>
      <x:c r="I77" s="31" t="n">
        <x:v>15</x:v>
      </x:c>
    </x:row>
    <x:row r="78">
      <x:c r="A78" s="33" t="n">
        <x:v>77</x:v>
      </x:c>
      <x:c r="B78" s="34" t="n">
        <x:v>0.8645833333333334</x:v>
      </x:c>
      <x:c r="C78" s="33" t="str">
        <x:v>SERVICE-OUTBOUND-08</x:v>
      </x:c>
      <x:c r="D78" s="33" t="n">
        <x:v>15</x:v>
      </x:c>
      <x:c r="F78" s="31" t="n">
        <x:v>77</x:v>
      </x:c>
      <x:c r="G78" s="32" t="n">
        <x:v>0.8645833333333334</x:v>
      </x:c>
      <x:c r="H78" s="31" t="str">
        <x:v>SERVICE-INBOUND-07</x:v>
      </x:c>
      <x:c r="I78" s="31" t="n">
        <x:v>15</x:v>
      </x:c>
    </x:row>
    <x:row r="79">
      <x:c r="A79" s="33" t="n">
        <x:v>78</x:v>
      </x:c>
      <x:c r="B79" s="34" t="n">
        <x:v>0.875</x:v>
      </x:c>
      <x:c r="C79" s="33" t="str">
        <x:v>SERVICE-OUTBOUND-08</x:v>
      </x:c>
      <x:c r="D79" s="33" t="n">
        <x:v>15</x:v>
      </x:c>
      <x:c r="F79" s="31" t="n">
        <x:v>78</x:v>
      </x:c>
      <x:c r="G79" s="32" t="n">
        <x:v>0.875</x:v>
      </x:c>
      <x:c r="H79" s="31" t="str">
        <x:v>SERVICE-INBOUND-07</x:v>
      </x:c>
      <x:c r="I79" s="31" t="n">
        <x:v>15</x:v>
      </x:c>
    </x:row>
  </x:sheetData>
  <x:pageMargins left="0.7" right="0.7" top="0.75" bottom="0.75" header="0.3" footer="0.3"/>
  <x:tableParts count="2">
    <x:tablePart xmlns:r="http://schemas.openxmlformats.org/officeDocument/2006/relationships" r:id="R658f137d81004b73"/>
    <x:tablePart xmlns:r="http://schemas.openxmlformats.org/officeDocument/2006/relationships" r:id="R0f7d7f8f39e44a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2" hidden="0" customWidth="1"/>
    <x:col min="5" max="5" width="18" hidden="0" customWidth="1"/>
    <x:col min="6" max="6" width="13" hidden="0" customWidth="1"/>
    <x:col min="7" max="7" width="34" hidden="0" customWidth="1"/>
  </x:cols>
  <x:sheetData>
    <x:row r="1">
      <x:c r="A1" s="24" t="str">
        <x:v>Direction</x:v>
      </x:c>
      <x:c r="B1" s="25" t="str">
        <x:v>ServiceRegime</x:v>
      </x:c>
      <x:c r="C1" s="25" t="str">
        <x:v>Start</x:v>
      </x:c>
      <x:c r="D1" s="25" t="str">
        <x:v>End</x:v>
      </x:c>
      <x:c r="E1" s="25" t="str">
        <x:v>Headway_minutes</x:v>
      </x:c>
      <x:c r="F1" s="25" t="str">
        <x:v>Trip_count</x:v>
      </x:c>
      <x:c r="G1" s="26" t="str">
        <x:v>DemandRegime_evidence</x:v>
      </x:c>
    </x:row>
    <x:row r="2">
      <x:c r="A2" t="str">
        <x:v>outbound</x:v>
      </x:c>
      <x:c r="B2" t="str">
        <x:v>SERVICE-OUTBOUND-01</x:v>
      </x:c>
      <x:c r="C2" s="27" t="n">
        <x:v>0.2048611111111111</x:v>
      </x:c>
      <x:c r="D2" s="27" t="n">
        <x:v>0.24930555555555556</x:v>
      </x:c>
      <x:c r="E2" t="n">
        <x:v>16</x:v>
      </x:c>
      <x:c r="F2" t="n">
        <x:v>5</x:v>
      </x:c>
      <x:c r="G2" t="str">
        <x:v>PLAN-OUTBOUND-01</x:v>
      </x:c>
    </x:row>
    <x:row r="3">
      <x:c r="A3" t="str">
        <x:v>outbound</x:v>
      </x:c>
      <x:c r="B3" t="str">
        <x:v>SERVICE-OUTBOUND-02</x:v>
      </x:c>
      <x:c r="C3" s="27" t="n">
        <x:v>0.25625</x:v>
      </x:c>
      <x:c r="D3" s="27" t="n">
        <x:v>0.31180555555555556</x:v>
      </x:c>
      <x:c r="E3" t="n">
        <x:v>10</x:v>
      </x:c>
      <x:c r="F3" t="n">
        <x:v>9</x:v>
      </x:c>
      <x:c r="G3" t="str">
        <x:v>PLAN-OUTBOUND-02</x:v>
      </x:c>
    </x:row>
    <x:row r="4">
      <x:c r="A4" t="str">
        <x:v>outbound</x:v>
      </x:c>
      <x:c r="B4" t="str">
        <x:v>SERVICE-OUTBOUND-03</x:v>
      </x:c>
      <x:c r="C4" s="27" t="n">
        <x:v>0.31875</x:v>
      </x:c>
      <x:c r="D4" s="27" t="n">
        <x:v>0.4354166666666667</x:v>
      </x:c>
      <x:c r="E4" t="n">
        <x:v>14</x:v>
      </x:c>
      <x:c r="F4" t="n">
        <x:v>13</x:v>
      </x:c>
      <x:c r="G4" t="str">
        <x:v>PLAN-OUTBOUND-03</x:v>
      </x:c>
    </x:row>
    <x:row r="5">
      <x:c r="A5" t="str">
        <x:v>outbound</x:v>
      </x:c>
      <x:c r="B5" t="str">
        <x:v>SERVICE-OUTBOUND-04</x:v>
      </x:c>
      <x:c r="C5" s="27" t="n">
        <x:v>0.4423611111111111</x:v>
      </x:c>
      <x:c r="D5" s="27" t="n">
        <x:v>0.4979166666666667</x:v>
      </x:c>
      <x:c r="E5" t="n">
        <x:v>10</x:v>
      </x:c>
      <x:c r="F5" t="n">
        <x:v>9</x:v>
      </x:c>
      <x:c r="G5" t="str">
        <x:v>PLAN-OUTBOUND-04</x:v>
      </x:c>
    </x:row>
    <x:row r="6">
      <x:c r="A6" t="str">
        <x:v>outbound</x:v>
      </x:c>
      <x:c r="B6" t="str">
        <x:v>SERVICE-OUTBOUND-05</x:v>
      </x:c>
      <x:c r="C6" s="27" t="n">
        <x:v>0.5048611111111111</x:v>
      </x:c>
      <x:c r="D6" s="27" t="n">
        <x:v>0.6611111111111111</x:v>
      </x:c>
      <x:c r="E6" t="n">
        <x:v>15</x:v>
      </x:c>
      <x:c r="F6" t="n">
        <x:v>16</x:v>
      </x:c>
      <x:c r="G6" t="str">
        <x:v>PLAN-OUTBOUND-05</x:v>
      </x:c>
    </x:row>
    <x:row r="7">
      <x:c r="A7" t="str">
        <x:v>outbound</x:v>
      </x:c>
      <x:c r="B7" t="str">
        <x:v>SERVICE-OUTBOUND-06</x:v>
      </x:c>
      <x:c r="C7" s="27" t="n">
        <x:v>0.6715277777777777</x:v>
      </x:c>
      <x:c r="D7" s="27" t="n">
        <x:v>0.7270833333333333</x:v>
      </x:c>
      <x:c r="E7" t="n">
        <x:v>8</x:v>
      </x:c>
      <x:c r="F7" t="n">
        <x:v>11</x:v>
      </x:c>
      <x:c r="G7" t="str">
        <x:v>PLAN-OUTBOUND-06</x:v>
      </x:c>
    </x:row>
    <x:row r="8">
      <x:c r="A8" t="str">
        <x:v>outbound</x:v>
      </x:c>
      <x:c r="B8" t="str">
        <x:v>SERVICE-OUTBOUND-07</x:v>
      </x:c>
      <x:c r="C8" s="27" t="n">
        <x:v>0.7326388888888888</x:v>
      </x:c>
      <x:c r="D8" s="27" t="n">
        <x:v>0.78125</x:v>
      </x:c>
      <x:c r="E8" t="n">
        <x:v>14</x:v>
      </x:c>
      <x:c r="F8" t="n">
        <x:v>6</x:v>
      </x:c>
      <x:c r="G8" t="str">
        <x:v>PLAN-OUTBOUND-07</x:v>
      </x:c>
    </x:row>
    <x:row r="9">
      <x:c r="A9" t="str">
        <x:v>outbound</x:v>
      </x:c>
      <x:c r="B9" t="str">
        <x:v>SERVICE-OUTBOUND-08</x:v>
      </x:c>
      <x:c r="C9" s="27" t="n">
        <x:v>0.7916666666666666</x:v>
      </x:c>
      <x:c r="D9" s="27" t="n">
        <x:v>0.875</x:v>
      </x:c>
      <x:c r="E9" t="n">
        <x:v>15</x:v>
      </x:c>
      <x:c r="F9" t="n">
        <x:v>9</x:v>
      </x:c>
      <x:c r="G9" t="str">
        <x:v>PLAN-OUTBOUND-08</x:v>
      </x:c>
    </x:row>
    <x:row r="10">
      <x:c r="A10" t="str">
        <x:v>inbound</x:v>
      </x:c>
      <x:c r="B10" t="str">
        <x:v>SERVICE-INBOUND-01</x:v>
      </x:c>
      <x:c r="C10" s="27" t="n">
        <x:v>0.2048611111111111</x:v>
      </x:c>
      <x:c r="D10" s="27" t="n">
        <x:v>0.24930555555555556</x:v>
      </x:c>
      <x:c r="E10" t="n">
        <x:v>16</x:v>
      </x:c>
      <x:c r="F10" t="n">
        <x:v>5</x:v>
      </x:c>
      <x:c r="G10" t="str">
        <x:v>PLAN-INBOUND-01</x:v>
      </x:c>
    </x:row>
    <x:row r="11">
      <x:c r="A11" t="str">
        <x:v>inbound</x:v>
      </x:c>
      <x:c r="B11" t="str">
        <x:v>SERVICE-INBOUND-02</x:v>
      </x:c>
      <x:c r="C11" s="27" t="n">
        <x:v>0.25555555555555554</x:v>
      </x:c>
      <x:c r="D11" s="27" t="n">
        <x:v>0.31180555555555556</x:v>
      </x:c>
      <x:c r="E11" t="n">
        <x:v>9</x:v>
      </x:c>
      <x:c r="F11" t="n">
        <x:v>10</x:v>
      </x:c>
      <x:c r="G11" t="str">
        <x:v>PLAN-INBOUND-02</x:v>
      </x:c>
    </x:row>
    <x:row r="12">
      <x:c r="A12" t="str">
        <x:v>inbound</x:v>
      </x:c>
      <x:c r="B12" t="str">
        <x:v>SERVICE-INBOUND-03</x:v>
      </x:c>
      <x:c r="C12" s="27" t="n">
        <x:v>0.31805555555555554</x:v>
      </x:c>
      <x:c r="D12" s="27" t="n">
        <x:v>0.43472222222222223</x:v>
      </x:c>
      <x:c r="E12" t="n">
        <x:v>14</x:v>
      </x:c>
      <x:c r="F12" t="n">
        <x:v>13</x:v>
      </x:c>
      <x:c r="G12" t="str">
        <x:v>PLAN-INBOUND-03</x:v>
      </x:c>
    </x:row>
    <x:row r="13">
      <x:c r="A13" t="str">
        <x:v>inbound</x:v>
      </x:c>
      <x:c r="B13" t="str">
        <x:v>SERVICE-INBOUND-04</x:v>
      </x:c>
      <x:c r="C13" s="27" t="n">
        <x:v>0.44166666666666665</x:v>
      </x:c>
      <x:c r="D13" s="27" t="n">
        <x:v>0.49722222222222223</x:v>
      </x:c>
      <x:c r="E13" t="n">
        <x:v>10</x:v>
      </x:c>
      <x:c r="F13" t="n">
        <x:v>9</x:v>
      </x:c>
      <x:c r="G13" t="str">
        <x:v>PLAN-INBOUND-04</x:v>
      </x:c>
    </x:row>
    <x:row r="14">
      <x:c r="A14" t="str">
        <x:v>inbound</x:v>
      </x:c>
      <x:c r="B14" t="str">
        <x:v>SERVICE-INBOUND-05</x:v>
      </x:c>
      <x:c r="C14" s="27" t="n">
        <x:v>0.5041666666666667</x:v>
      </x:c>
      <x:c r="D14" s="27" t="n">
        <x:v>0.6604166666666667</x:v>
      </x:c>
      <x:c r="E14" t="n">
        <x:v>15</x:v>
      </x:c>
      <x:c r="F14" t="n">
        <x:v>16</x:v>
      </x:c>
      <x:c r="G14" t="str">
        <x:v>PLAN-INBOUND-05</x:v>
      </x:c>
    </x:row>
    <x:row r="15">
      <x:c r="A15" t="str">
        <x:v>inbound</x:v>
      </x:c>
      <x:c r="B15" t="str">
        <x:v>SERVICE-INBOUND-06</x:v>
      </x:c>
      <x:c r="C15" s="27" t="n">
        <x:v>0.6666666666666666</x:v>
      </x:c>
      <x:c r="D15" s="27" t="n">
        <x:v>0.7229166666666667</x:v>
      </x:c>
      <x:c r="E15" t="n">
        <x:v>9</x:v>
      </x:c>
      <x:c r="F15" t="n">
        <x:v>10</x:v>
      </x:c>
      <x:c r="G15" t="str">
        <x:v>PLAN-INBOUND-06</x:v>
      </x:c>
    </x:row>
    <x:row r="16">
      <x:c r="A16" t="str">
        <x:v>inbound</x:v>
      </x:c>
      <x:c r="B16" t="str">
        <x:v>SERVICE-INBOUND-07</x:v>
      </x:c>
      <x:c r="C16" s="27" t="n">
        <x:v>0.7291666666666666</x:v>
      </x:c>
      <x:c r="D16" s="27" t="n">
        <x:v>0.875</x:v>
      </x:c>
      <x:c r="E16" t="n">
        <x:v>15</x:v>
      </x:c>
      <x:c r="F16" t="n">
        <x:v>15</x:v>
      </x:c>
      <x:c r="G16" t="str">
        <x:v>PLAN-INBOUND-07, PLAN-INBOUND-08</x:v>
      </x:c>
    </x:row>
  </x:sheetData>
  <x:pageMargins left="0.7" right="0.7" top="0.75" bottom="0.75" header="0.3" footer="0.3"/>
  <x:tableParts count="1">
    <x:tablePart xmlns:r="http://schemas.openxmlformats.org/officeDocument/2006/relationships" r:id="R9a293794247748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8" hidden="0" customWidth="1"/>
    <x:col min="5" max="5" width="24" hidden="0" customWidth="1"/>
    <x:col min="6" max="6" width="19" hidden="0" customWidth="1"/>
    <x:col min="7" max="7" width="15" hidden="0" customWidth="1"/>
    <x:col min="8" max="8" width="24" hidden="0" customWidth="1"/>
    <x:col min="9" max="9" width="19" hidden="0" customWidth="1"/>
    <x:col min="10" max="10" width="3" hidden="0" customWidth="1"/>
    <x:col min="11" max="11" width="23" hidden="0" customWidth="1"/>
    <x:col min="12" max="12" width="23" hidden="0" customWidth="1"/>
    <x:col min="13" max="13" width="26" hidden="0" customWidth="1"/>
    <x:col min="14" max="14" width="22" hidden="0" customWidth="1"/>
  </x:cols>
  <x:sheetData>
    <x:row r="1">
      <x:c r="A1" s="24" t="str">
        <x:v>Direction</x:v>
      </x:c>
      <x:c r="B1" s="25" t="str">
        <x:v>Start</x:v>
      </x:c>
      <x:c r="C1" s="25" t="str">
        <x:v>End</x:v>
      </x:c>
      <x:c r="D1" s="25" t="str">
        <x:v>Observed_demand</x:v>
      </x:c>
      <x:c r="E1" s="25" t="str">
        <x:v>Scenario_B_service_count</x:v>
      </x:c>
      <x:c r="F1" s="25" t="str">
        <x:v>Final_service_count</x:v>
      </x:c>
      <x:c r="G1" s="25" t="str">
        <x:v>Demand_share</x:v>
      </x:c>
      <x:c r="H1" s="25" t="str">
        <x:v>Scenario_B_service_share</x:v>
      </x:c>
      <x:c r="I1" s="26" t="str">
        <x:v>Final_service_share</x:v>
      </x:c>
      <x:c r="K1" s="24" t="str">
        <x:v>Bucket</x:v>
      </x:c>
      <x:c r="L1" s="25" t="str">
        <x:v>Observed demand profile</x:v>
      </x:c>
      <x:c r="M1" s="25" t="str">
        <x:v>Scenario B/current service</x:v>
      </x:c>
      <x:c r="N1" s="26" t="str">
        <x:v>Final selected service</x:v>
      </x:c>
    </x:row>
    <x:row r="2">
      <x:c r="A2" t="str">
        <x:v>outbound</x:v>
      </x:c>
      <x:c r="B2" s="27" t="n">
        <x:v>0.1875</x:v>
      </x:c>
      <x:c r="C2" s="27" t="n">
        <x:v>0.20833333333333334</x:v>
      </x:c>
      <x:c r="D2" s="35" t="n">
        <x:v>15</x:v>
      </x:c>
      <x:c r="E2" t="n">
        <x:v>1</x:v>
      </x:c>
      <x:c r="F2" t="n">
        <x:v>1</x:v>
      </x:c>
      <x:c r="G2" s="36" t="n">
        <x:v>0.007608710066704683</x:v>
      </x:c>
      <x:c r="H2" s="36" t="n">
        <x:v>0.01282051282051282</x:v>
      </x:c>
      <x:c r="I2" s="36" t="n">
        <x:v>0.01282051282051282</x:v>
      </x:c>
      <x:c r="K2" t="str">
        <x:f>A2&amp;" "&amp;TEXT(B2,"hh:mm")</x:f>
        <x:v>outbound 04:30</x:v>
      </x:c>
      <x:c r="L2" s="36" t="n">
        <x:f>G2</x:f>
        <x:v>0.007608710066704683</x:v>
      </x:c>
      <x:c r="M2" s="36" t="n">
        <x:f>H2</x:f>
        <x:v>0.01282051282051282</x:v>
      </x:c>
      <x:c r="N2" s="36" t="n">
        <x:f>I2</x:f>
        <x:v>0.01282051282051282</x:v>
      </x:c>
    </x:row>
    <x:row r="3">
      <x:c r="A3" t="str">
        <x:v>outbound</x:v>
      </x:c>
      <x:c r="B3" s="27" t="n">
        <x:v>0.20833333333333334</x:v>
      </x:c>
      <x:c r="C3" s="27" t="n">
        <x:v>0.22916666666666666</x:v>
      </x:c>
      <x:c r="D3" s="35" t="n">
        <x:v>30.359477124183005</x:v>
      </x:c>
      <x:c r="E3" t="n">
        <x:v>2</x:v>
      </x:c>
      <x:c r="F3" t="n">
        <x:v>2</x:v>
      </x:c>
      <x:c r="G3" s="36" t="n">
        <x:v>0.015399763947644118</x:v>
      </x:c>
      <x:c r="H3" s="36" t="n">
        <x:v>0.02564102564102564</x:v>
      </x:c>
      <x:c r="I3" s="36" t="n">
        <x:v>0.02564102564102564</x:v>
      </x:c>
      <x:c r="K3" t="str">
        <x:f>A3&amp;" "&amp;TEXT(B3,"hh:mm")</x:f>
        <x:v>outbound 05:00</x:v>
      </x:c>
      <x:c r="L3" s="36" t="n">
        <x:f>G3</x:f>
        <x:v>0.015399763947644118</x:v>
      </x:c>
      <x:c r="M3" s="36" t="n">
        <x:f>H3</x:f>
        <x:v>0.02564102564102564</x:v>
      </x:c>
      <x:c r="N3" s="36" t="n">
        <x:f>I3</x:f>
        <x:v>0.02564102564102564</x:v>
      </x:c>
    </x:row>
    <x:row r="4">
      <x:c r="A4" t="str">
        <x:v>outbound</x:v>
      </x:c>
      <x:c r="B4" s="27" t="n">
        <x:v>0.22916666666666666</x:v>
      </x:c>
      <x:c r="C4" s="27" t="n">
        <x:v>0.25</x:v>
      </x:c>
      <x:c r="D4" s="35" t="n">
        <x:v>63.20261437908497</x:v>
      </x:c>
      <x:c r="E4" t="n">
        <x:v>2</x:v>
      </x:c>
      <x:c r="F4" t="n">
        <x:v>2</x:v>
      </x:c>
      <x:c r="G4" s="36" t="n">
        <x:v>0.03205935788454653</x:v>
      </x:c>
      <x:c r="H4" s="36" t="n">
        <x:v>0.02564102564102564</x:v>
      </x:c>
      <x:c r="I4" s="36" t="n">
        <x:v>0.02564102564102564</x:v>
      </x:c>
      <x:c r="K4" t="str">
        <x:f>A4&amp;" "&amp;TEXT(B4,"hh:mm")</x:f>
        <x:v>outbound 05:30</x:v>
      </x:c>
      <x:c r="L4" s="36" t="n">
        <x:f>G4</x:f>
        <x:v>0.03205935788454653</x:v>
      </x:c>
      <x:c r="M4" s="36" t="n">
        <x:f>H4</x:f>
        <x:v>0.02564102564102564</x:v>
      </x:c>
      <x:c r="N4" s="36" t="n">
        <x:f>I4</x:f>
        <x:v>0.02564102564102564</x:v>
      </x:c>
    </x:row>
    <x:row r="5">
      <x:c r="A5" t="str">
        <x:v>outbound</x:v>
      </x:c>
      <x:c r="B5" s="27" t="n">
        <x:v>0.25</x:v>
      </x:c>
      <x:c r="C5" s="27" t="n">
        <x:v>0.2708333333333333</x:v>
      </x:c>
      <x:c r="D5" s="35" t="n">
        <x:v>81.17647058823529</x:v>
      </x:c>
      <x:c r="E5" t="n">
        <x:v>2</x:v>
      </x:c>
      <x:c r="F5" t="n">
        <x:v>3</x:v>
      </x:c>
      <x:c r="G5" s="36" t="n">
        <x:v>0.04117654859628416</x:v>
      </x:c>
      <x:c r="H5" s="36" t="n">
        <x:v>0.02564102564102564</x:v>
      </x:c>
      <x:c r="I5" s="36" t="n">
        <x:v>0.038461538461538464</x:v>
      </x:c>
      <x:c r="K5" t="str">
        <x:f>A5&amp;" "&amp;TEXT(B5,"hh:mm")</x:f>
        <x:v>outbound 06:00</x:v>
      </x:c>
      <x:c r="L5" s="36" t="n">
        <x:f>G5</x:f>
        <x:v>0.04117654859628416</x:v>
      </x:c>
      <x:c r="M5" s="36" t="n">
        <x:f>H5</x:f>
        <x:v>0.02564102564102564</x:v>
      </x:c>
      <x:c r="N5" s="36" t="n">
        <x:f>I5</x:f>
        <x:v>0.038461538461538464</x:v>
      </x:c>
    </x:row>
    <x:row r="6">
      <x:c r="A6" t="str">
        <x:v>outbound</x:v>
      </x:c>
      <x:c r="B6" s="27" t="n">
        <x:v>0.2708333333333333</x:v>
      </x:c>
      <x:c r="C6" s="27" t="n">
        <x:v>0.2916666666666667</x:v>
      </x:c>
      <x:c r="D6" s="35" t="n">
        <x:v>99.33986928104575</x:v>
      </x:c>
      <x:c r="E6" t="n">
        <x:v>4</x:v>
      </x:c>
      <x:c r="F6" t="n">
        <x:v>3</x:v>
      </x:c>
      <x:c r="G6" s="36" t="n">
        <x:v>0.050389884228254675</x:v>
      </x:c>
      <x:c r="H6" s="36" t="n">
        <x:v>0.05128205128205128</x:v>
      </x:c>
      <x:c r="I6" s="36" t="n">
        <x:v>0.038461538461538464</x:v>
      </x:c>
      <x:c r="K6" t="str">
        <x:f>A6&amp;" "&amp;TEXT(B6,"hh:mm")</x:f>
        <x:v>outbound 06:30</x:v>
      </x:c>
      <x:c r="L6" s="36" t="n">
        <x:f>G6</x:f>
        <x:v>0.050389884228254675</x:v>
      </x:c>
      <x:c r="M6" s="36" t="n">
        <x:f>H6</x:f>
        <x:v>0.05128205128205128</x:v>
      </x:c>
      <x:c r="N6" s="36" t="n">
        <x:f>I6</x:f>
        <x:v>0.038461538461538464</x:v>
      </x:c>
    </x:row>
    <x:row r="7">
      <x:c r="A7" t="str">
        <x:v>outbound</x:v>
      </x:c>
      <x:c r="B7" s="27" t="n">
        <x:v>0.2916666666666667</x:v>
      </x:c>
      <x:c r="C7" s="27" t="n">
        <x:v>0.3125</x:v>
      </x:c>
      <x:c r="D7" s="35" t="n">
        <x:v>79.69934640522875</x:v>
      </x:c>
      <x:c r="E7" t="n">
        <x:v>3</x:v>
      </x:c>
      <x:c r="F7" t="n">
        <x:v>3</x:v>
      </x:c>
      <x:c r="G7" s="36" t="n">
        <x:v>0.04042728128688318</x:v>
      </x:c>
      <x:c r="H7" s="36" t="n">
        <x:v>0.038461538461538464</x:v>
      </x:c>
      <x:c r="I7" s="36" t="n">
        <x:v>0.038461538461538464</x:v>
      </x:c>
      <x:c r="K7" t="str">
        <x:f>A7&amp;" "&amp;TEXT(B7,"hh:mm")</x:f>
        <x:v>outbound 07:00</x:v>
      </x:c>
      <x:c r="L7" s="36" t="n">
        <x:f>G7</x:f>
        <x:v>0.04042728128688318</x:v>
      </x:c>
      <x:c r="M7" s="36" t="n">
        <x:f>H7</x:f>
        <x:v>0.038461538461538464</x:v>
      </x:c>
      <x:c r="N7" s="36" t="n">
        <x:f>I7</x:f>
        <x:v>0.038461538461538464</x:v>
      </x:c>
    </x:row>
    <x:row r="8">
      <x:c r="A8" t="str">
        <x:v>outbound</x:v>
      </x:c>
      <x:c r="B8" s="27" t="n">
        <x:v>0.3125</x:v>
      </x:c>
      <x:c r="C8" s="27" t="n">
        <x:v>0.3333333333333333</x:v>
      </x:c>
      <x:c r="D8" s="35" t="n">
        <x:v>57.849673202614376</x:v>
      </x:c>
      <x:c r="E8" t="n">
        <x:v>3</x:v>
      </x:c>
      <x:c r="F8" t="n">
        <x:v>2</x:v>
      </x:c>
      <x:c r="G8" s="36" t="n">
        <x:v>0.02934409272348721</x:v>
      </x:c>
      <x:c r="H8" s="36" t="n">
        <x:v>0.038461538461538464</x:v>
      </x:c>
      <x:c r="I8" s="36" t="n">
        <x:v>0.02564102564102564</x:v>
      </x:c>
      <x:c r="K8" t="str">
        <x:f>A8&amp;" "&amp;TEXT(B8,"hh:mm")</x:f>
        <x:v>outbound 07:30</x:v>
      </x:c>
      <x:c r="L8" s="36" t="n">
        <x:f>G8</x:f>
        <x:v>0.02934409272348721</x:v>
      </x:c>
      <x:c r="M8" s="36" t="n">
        <x:f>H8</x:f>
        <x:v>0.038461538461538464</x:v>
      </x:c>
      <x:c r="N8" s="36" t="n">
        <x:f>I8</x:f>
        <x:v>0.02564102564102564</x:v>
      </x:c>
    </x:row>
    <x:row r="9">
      <x:c r="A9" t="str">
        <x:v>outbound</x:v>
      </x:c>
      <x:c r="B9" s="27" t="n">
        <x:v>0.3333333333333333</x:v>
      </x:c>
      <x:c r="C9" s="27" t="n">
        <x:v>0.3541666666666667</x:v>
      </x:c>
      <x:c r="D9" s="35" t="n">
        <x:v>58.549019607843135</x:v>
      </x:c>
      <x:c r="E9" t="n">
        <x:v>2</x:v>
      </x:c>
      <x:c r="F9" t="n">
        <x:v>2</x:v>
      </x:c>
      <x:c r="G9" s="36" t="n">
        <x:v>0.029698834325725728</x:v>
      </x:c>
      <x:c r="H9" s="36" t="n">
        <x:v>0.02564102564102564</x:v>
      </x:c>
      <x:c r="I9" s="36" t="n">
        <x:v>0.02564102564102564</x:v>
      </x:c>
      <x:c r="K9" t="str">
        <x:f>A9&amp;" "&amp;TEXT(B9,"hh:mm")</x:f>
        <x:v>outbound 08:00</x:v>
      </x:c>
      <x:c r="L9" s="36" t="n">
        <x:f>G9</x:f>
        <x:v>0.029698834325725728</x:v>
      </x:c>
      <x:c r="M9" s="36" t="n">
        <x:f>H9</x:f>
        <x:v>0.02564102564102564</x:v>
      </x:c>
      <x:c r="N9" s="36" t="n">
        <x:f>I9</x:f>
        <x:v>0.02564102564102564</x:v>
      </x:c>
    </x:row>
    <x:row r="10">
      <x:c r="A10" t="str">
        <x:v>outbound</x:v>
      </x:c>
      <x:c r="B10" s="27" t="n">
        <x:v>0.3541666666666667</x:v>
      </x:c>
      <x:c r="C10" s="27" t="n">
        <x:v>0.375</x:v>
      </x:c>
      <x:c r="D10" s="35" t="n">
        <x:v>55.588235294117645</x:v>
      </x:c>
      <x:c r="E10" t="n">
        <x:v>2</x:v>
      </x:c>
      <x:c r="F10" t="n">
        <x:v>2</x:v>
      </x:c>
      <x:c r="G10" s="36" t="n">
        <x:v>0.028196984364846765</x:v>
      </x:c>
      <x:c r="H10" s="36" t="n">
        <x:v>0.02564102564102564</x:v>
      </x:c>
      <x:c r="I10" s="36" t="n">
        <x:v>0.02564102564102564</x:v>
      </x:c>
      <x:c r="K10" t="str">
        <x:f>A10&amp;" "&amp;TEXT(B10,"hh:mm")</x:f>
        <x:v>outbound 08:30</x:v>
      </x:c>
      <x:c r="L10" s="36" t="n">
        <x:f>G10</x:f>
        <x:v>0.028196984364846765</x:v>
      </x:c>
      <x:c r="M10" s="36" t="n">
        <x:f>H10</x:f>
        <x:v>0.02564102564102564</x:v>
      </x:c>
      <x:c r="N10" s="36" t="n">
        <x:f>I10</x:f>
        <x:v>0.02564102564102564</x:v>
      </x:c>
    </x:row>
    <x:row r="11">
      <x:c r="A11" t="str">
        <x:v>outbound</x:v>
      </x:c>
      <x:c r="B11" s="27" t="n">
        <x:v>0.375</x:v>
      </x:c>
      <x:c r="C11" s="27" t="n">
        <x:v>0.3958333333333333</x:v>
      </x:c>
      <x:c r="D11" s="35" t="n">
        <x:v>49.1764705882353</x:v>
      </x:c>
      <x:c r="E11" t="n">
        <x:v>2</x:v>
      </x:c>
      <x:c r="F11" t="n">
        <x:v>2</x:v>
      </x:c>
      <x:c r="G11" s="36" t="n">
        <x:v>0.024944633787314176</x:v>
      </x:c>
      <x:c r="H11" s="36" t="n">
        <x:v>0.02564102564102564</x:v>
      </x:c>
      <x:c r="I11" s="36" t="n">
        <x:v>0.02564102564102564</x:v>
      </x:c>
      <x:c r="K11" t="str">
        <x:f>A11&amp;" "&amp;TEXT(B11,"hh:mm")</x:f>
        <x:v>outbound 09:00</x:v>
      </x:c>
      <x:c r="L11" s="36" t="n">
        <x:f>G11</x:f>
        <x:v>0.024944633787314176</x:v>
      </x:c>
      <x:c r="M11" s="36" t="n">
        <x:f>H11</x:f>
        <x:v>0.02564102564102564</x:v>
      </x:c>
      <x:c r="N11" s="36" t="n">
        <x:f>I11</x:f>
        <x:v>0.02564102564102564</x:v>
      </x:c>
    </x:row>
    <x:row r="12">
      <x:c r="A12" t="str">
        <x:v>outbound</x:v>
      </x:c>
      <x:c r="B12" s="27" t="n">
        <x:v>0.3958333333333333</x:v>
      </x:c>
      <x:c r="C12" s="27" t="n">
        <x:v>0.4166666666666667</x:v>
      </x:c>
      <x:c r="D12" s="35" t="n">
        <x:v>51.450980392156865</x:v>
      </x:c>
      <x:c r="E12" t="n">
        <x:v>2</x:v>
      </x:c>
      <x:c r="F12" t="n">
        <x:v>3</x:v>
      </x:c>
      <x:c r="G12" s="36" t="n">
        <x:v>0.026098372830108612</x:v>
      </x:c>
      <x:c r="H12" s="36" t="n">
        <x:v>0.02564102564102564</x:v>
      </x:c>
      <x:c r="I12" s="36" t="n">
        <x:v>0.038461538461538464</x:v>
      </x:c>
      <x:c r="K12" t="str">
        <x:f>A12&amp;" "&amp;TEXT(B12,"hh:mm")</x:f>
        <x:v>outbound 09:30</x:v>
      </x:c>
      <x:c r="L12" s="36" t="n">
        <x:f>G12</x:f>
        <x:v>0.026098372830108612</x:v>
      </x:c>
      <x:c r="M12" s="36" t="n">
        <x:f>H12</x:f>
        <x:v>0.02564102564102564</x:v>
      </x:c>
      <x:c r="N12" s="36" t="n">
        <x:f>I12</x:f>
        <x:v>0.038461538461538464</x:v>
      </x:c>
    </x:row>
    <x:row r="13">
      <x:c r="A13" t="str">
        <x:v>outbound</x:v>
      </x:c>
      <x:c r="B13" s="27" t="n">
        <x:v>0.4166666666666667</x:v>
      </x:c>
      <x:c r="C13" s="27" t="n">
        <x:v>0.4375</x:v>
      </x:c>
      <x:c r="D13" s="35" t="n">
        <x:v>51.30718954248366</x:v>
      </x:c>
      <x:c r="E13" t="n">
        <x:v>2</x:v>
      </x:c>
      <x:c r="F13" t="n">
        <x:v>2</x:v>
      </x:c>
      <x:c r="G13" s="36" t="n">
        <x:v>0.02602543530441471</x:v>
      </x:c>
      <x:c r="H13" s="36" t="n">
        <x:v>0.02564102564102564</x:v>
      </x:c>
      <x:c r="I13" s="36" t="n">
        <x:v>0.02564102564102564</x:v>
      </x:c>
      <x:c r="K13" t="str">
        <x:f>A13&amp;" "&amp;TEXT(B13,"hh:mm")</x:f>
        <x:v>outbound 10:00</x:v>
      </x:c>
      <x:c r="L13" s="36" t="n">
        <x:f>G13</x:f>
        <x:v>0.02602543530441471</x:v>
      </x:c>
      <x:c r="M13" s="36" t="n">
        <x:f>H13</x:f>
        <x:v>0.02564102564102564</x:v>
      </x:c>
      <x:c r="N13" s="36" t="n">
        <x:f>I13</x:f>
        <x:v>0.02564102564102564</x:v>
      </x:c>
    </x:row>
    <x:row r="14">
      <x:c r="A14" t="str">
        <x:v>outbound</x:v>
      </x:c>
      <x:c r="B14" s="27" t="n">
        <x:v>0.4375</x:v>
      </x:c>
      <x:c r="C14" s="27" t="n">
        <x:v>0.4583333333333333</x:v>
      </x:c>
      <x:c r="D14" s="35" t="n">
        <x:v>78.2875816993464</x:v>
      </x:c>
      <x:c r="E14" t="n">
        <x:v>3</x:v>
      </x:c>
      <x:c r="F14" t="n">
        <x:v>3</x:v>
      </x:c>
      <x:c r="G14" s="36" t="n">
        <x:v>0.03971116739825215</x:v>
      </x:c>
      <x:c r="H14" s="36" t="n">
        <x:v>0.038461538461538464</x:v>
      </x:c>
      <x:c r="I14" s="36" t="n">
        <x:v>0.038461538461538464</x:v>
      </x:c>
      <x:c r="K14" t="str">
        <x:f>A14&amp;" "&amp;TEXT(B14,"hh:mm")</x:f>
        <x:v>outbound 10:30</x:v>
      </x:c>
      <x:c r="L14" s="36" t="n">
        <x:f>G14</x:f>
        <x:v>0.03971116739825215</x:v>
      </x:c>
      <x:c r="M14" s="36" t="n">
        <x:f>H14</x:f>
        <x:v>0.038461538461538464</x:v>
      </x:c>
      <x:c r="N14" s="36" t="n">
        <x:f>I14</x:f>
        <x:v>0.038461538461538464</x:v>
      </x:c>
    </x:row>
    <x:row r="15">
      <x:c r="A15" t="str">
        <x:v>outbound</x:v>
      </x:c>
      <x:c r="B15" s="27" t="n">
        <x:v>0.4583333333333333</x:v>
      </x:c>
      <x:c r="C15" s="27" t="n">
        <x:v>0.4791666666666667</x:v>
      </x:c>
      <x:c r="D15" s="35" t="n">
        <x:v>99.18954248366013</x:v>
      </x:c>
      <x:c r="E15" t="n">
        <x:v>4</x:v>
      </x:c>
      <x:c r="F15" t="n">
        <x:v>3</x:v>
      </x:c>
      <x:c r="G15" s="36" t="n">
        <x:v>0.05031363136048378</x:v>
      </x:c>
      <x:c r="H15" s="36" t="n">
        <x:v>0.05128205128205128</x:v>
      </x:c>
      <x:c r="I15" s="36" t="n">
        <x:v>0.038461538461538464</x:v>
      </x:c>
      <x:c r="K15" t="str">
        <x:f>A15&amp;" "&amp;TEXT(B15,"hh:mm")</x:f>
        <x:v>outbound 11:00</x:v>
      </x:c>
      <x:c r="L15" s="36" t="n">
        <x:f>G15</x:f>
        <x:v>0.05031363136048378</x:v>
      </x:c>
      <x:c r="M15" s="36" t="n">
        <x:f>H15</x:f>
        <x:v>0.05128205128205128</x:v>
      </x:c>
      <x:c r="N15" s="36" t="n">
        <x:f>I15</x:f>
        <x:v>0.038461538461538464</x:v>
      </x:c>
    </x:row>
    <x:row r="16">
      <x:c r="A16" t="str">
        <x:v>outbound</x:v>
      </x:c>
      <x:c r="B16" s="27" t="n">
        <x:v>0.4791666666666667</x:v>
      </x:c>
      <x:c r="C16" s="27" t="n">
        <x:v>0.5</x:v>
      </x:c>
      <x:c r="D16" s="35" t="n">
        <x:v>62.97385620915033</x:v>
      </x:c>
      <x:c r="E16" t="n">
        <x:v>3</x:v>
      </x:c>
      <x:c r="F16" t="n">
        <x:v>3</x:v>
      </x:c>
      <x:c r="G16" s="36" t="n">
        <x:v>0.03194332091185169</x:v>
      </x:c>
      <x:c r="H16" s="36" t="n">
        <x:v>0.038461538461538464</x:v>
      </x:c>
      <x:c r="I16" s="36" t="n">
        <x:v>0.038461538461538464</x:v>
      </x:c>
      <x:c r="K16" t="str">
        <x:f>A16&amp;" "&amp;TEXT(B16,"hh:mm")</x:f>
        <x:v>outbound 11:30</x:v>
      </x:c>
      <x:c r="L16" s="36" t="n">
        <x:f>G16</x:f>
        <x:v>0.03194332091185169</x:v>
      </x:c>
      <x:c r="M16" s="36" t="n">
        <x:f>H16</x:f>
        <x:v>0.038461538461538464</x:v>
      </x:c>
      <x:c r="N16" s="36" t="n">
        <x:f>I16</x:f>
        <x:v>0.038461538461538464</x:v>
      </x:c>
    </x:row>
    <x:row r="17">
      <x:c r="A17" t="str">
        <x:v>outbound</x:v>
      </x:c>
      <x:c r="B17" s="27" t="n">
        <x:v>0.5</x:v>
      </x:c>
      <x:c r="C17" s="27" t="n">
        <x:v>0.5208333333333334</x:v>
      </x:c>
      <x:c r="D17" s="35" t="n">
        <x:v>60.10457516339869</x:v>
      </x:c>
      <x:c r="E17" t="n">
        <x:v>2</x:v>
      </x:c>
      <x:c r="F17" t="n">
        <x:v>2</x:v>
      </x:c>
      <x:c r="G17" s="36" t="n">
        <x:v>0.03048788574005066</x:v>
      </x:c>
      <x:c r="H17" s="36" t="n">
        <x:v>0.02564102564102564</x:v>
      </x:c>
      <x:c r="I17" s="36" t="n">
        <x:v>0.02564102564102564</x:v>
      </x:c>
      <x:c r="K17" t="str">
        <x:f>A17&amp;" "&amp;TEXT(B17,"hh:mm")</x:f>
        <x:v>outbound 12:00</x:v>
      </x:c>
      <x:c r="L17" s="36" t="n">
        <x:f>G17</x:f>
        <x:v>0.03048788574005066</x:v>
      </x:c>
      <x:c r="M17" s="36" t="n">
        <x:f>H17</x:f>
        <x:v>0.02564102564102564</x:v>
      </x:c>
      <x:c r="N17" s="36" t="n">
        <x:f>I17</x:f>
        <x:v>0.02564102564102564</x:v>
      </x:c>
    </x:row>
    <x:row r="18">
      <x:c r="A18" t="str">
        <x:v>outbound</x:v>
      </x:c>
      <x:c r="B18" s="27" t="n">
        <x:v>0.5208333333333334</x:v>
      </x:c>
      <x:c r="C18" s="27" t="n">
        <x:v>0.5416666666666666</x:v>
      </x:c>
      <x:c r="D18" s="35" t="n">
        <x:v>47.209150326797385</x:v>
      </x:c>
      <x:c r="E18" t="n">
        <x:v>2</x:v>
      </x:c>
      <x:c r="F18" t="n">
        <x:v>2</x:v>
      </x:c>
      <x:c r="G18" s="36" t="n">
        <x:v>0.023946715822138528</x:v>
      </x:c>
      <x:c r="H18" s="36" t="n">
        <x:v>0.02564102564102564</x:v>
      </x:c>
      <x:c r="I18" s="36" t="n">
        <x:v>0.02564102564102564</x:v>
      </x:c>
      <x:c r="K18" t="str">
        <x:f>A18&amp;" "&amp;TEXT(B18,"hh:mm")</x:f>
        <x:v>outbound 12:30</x:v>
      </x:c>
      <x:c r="L18" s="36" t="n">
        <x:f>G18</x:f>
        <x:v>0.023946715822138528</x:v>
      </x:c>
      <x:c r="M18" s="36" t="n">
        <x:f>H18</x:f>
        <x:v>0.02564102564102564</x:v>
      </x:c>
      <x:c r="N18" s="36" t="n">
        <x:f>I18</x:f>
        <x:v>0.02564102564102564</x:v>
      </x:c>
    </x:row>
    <x:row r="19">
      <x:c r="A19" t="str">
        <x:v>outbound</x:v>
      </x:c>
      <x:c r="B19" s="27" t="n">
        <x:v>0.5416666666666666</x:v>
      </x:c>
      <x:c r="C19" s="27" t="n">
        <x:v>0.5625</x:v>
      </x:c>
      <x:c r="D19" s="35" t="n">
        <x:v>41.79738562091503</x:v>
      </x:c>
      <x:c r="E19" t="n">
        <x:v>2</x:v>
      </x:c>
      <x:c r="F19" t="n">
        <x:v>2</x:v>
      </x:c>
      <x:c r="G19" s="36" t="n">
        <x:v>0.02120161258238625</x:v>
      </x:c>
      <x:c r="H19" s="36" t="n">
        <x:v>0.02564102564102564</x:v>
      </x:c>
      <x:c r="I19" s="36" t="n">
        <x:v>0.02564102564102564</x:v>
      </x:c>
      <x:c r="K19" t="str">
        <x:f>A19&amp;" "&amp;TEXT(B19,"hh:mm")</x:f>
        <x:v>outbound 13:00</x:v>
      </x:c>
      <x:c r="L19" s="36" t="n">
        <x:f>G19</x:f>
        <x:v>0.02120161258238625</x:v>
      </x:c>
      <x:c r="M19" s="36" t="n">
        <x:f>H19</x:f>
        <x:v>0.02564102564102564</x:v>
      </x:c>
      <x:c r="N19" s="36" t="n">
        <x:f>I19</x:f>
        <x:v>0.02564102564102564</x:v>
      </x:c>
    </x:row>
    <x:row r="20">
      <x:c r="A20" t="str">
        <x:v>outbound</x:v>
      </x:c>
      <x:c r="B20" s="27" t="n">
        <x:v>0.5625</x:v>
      </x:c>
      <x:c r="C20" s="27" t="n">
        <x:v>0.5833333333333334</x:v>
      </x:c>
      <x:c r="D20" s="35" t="n">
        <x:v>37.470588235294116</x:v>
      </x:c>
      <x:c r="E20" t="n">
        <x:v>2</x:v>
      </x:c>
      <x:c r="F20" t="n">
        <x:v>2</x:v>
      </x:c>
      <x:c r="G20" s="36" t="n">
        <x:v>0.019006856127415227</x:v>
      </x:c>
      <x:c r="H20" s="36" t="n">
        <x:v>0.02564102564102564</x:v>
      </x:c>
      <x:c r="I20" s="36" t="n">
        <x:v>0.02564102564102564</x:v>
      </x:c>
      <x:c r="K20" t="str">
        <x:f>A20&amp;" "&amp;TEXT(B20,"hh:mm")</x:f>
        <x:v>outbound 13:30</x:v>
      </x:c>
      <x:c r="L20" s="36" t="n">
        <x:f>G20</x:f>
        <x:v>0.019006856127415227</x:v>
      </x:c>
      <x:c r="M20" s="36" t="n">
        <x:f>H20</x:f>
        <x:v>0.02564102564102564</x:v>
      </x:c>
      <x:c r="N20" s="36" t="n">
        <x:f>I20</x:f>
        <x:v>0.02564102564102564</x:v>
      </x:c>
    </x:row>
    <x:row r="21">
      <x:c r="A21" t="str">
        <x:v>outbound</x:v>
      </x:c>
      <x:c r="B21" s="27" t="n">
        <x:v>0.5833333333333334</x:v>
      </x:c>
      <x:c r="C21" s="27" t="n">
        <x:v>0.6041666666666666</x:v>
      </x:c>
      <x:c r="D21" s="35" t="n">
        <x:v>45.03921568627451</x:v>
      </x:c>
      <x:c r="E21" t="n">
        <x:v>2</x:v>
      </x:c>
      <x:c r="F21" t="n">
        <x:v>2</x:v>
      </x:c>
      <x:c r="G21" s="36" t="n">
        <x:v>0.022846022252576023</x:v>
      </x:c>
      <x:c r="H21" s="36" t="n">
        <x:v>0.02564102564102564</x:v>
      </x:c>
      <x:c r="I21" s="36" t="n">
        <x:v>0.02564102564102564</x:v>
      </x:c>
      <x:c r="K21" t="str">
        <x:f>A21&amp;" "&amp;TEXT(B21,"hh:mm")</x:f>
        <x:v>outbound 14:00</x:v>
      </x:c>
      <x:c r="L21" s="36" t="n">
        <x:f>G21</x:f>
        <x:v>0.022846022252576023</x:v>
      </x:c>
      <x:c r="M21" s="36" t="n">
        <x:f>H21</x:f>
        <x:v>0.02564102564102564</x:v>
      </x:c>
      <x:c r="N21" s="36" t="n">
        <x:f>I21</x:f>
        <x:v>0.02564102564102564</x:v>
      </x:c>
    </x:row>
    <x:row r="22">
      <x:c r="A22" t="str">
        <x:v>outbound</x:v>
      </x:c>
      <x:c r="B22" s="27" t="n">
        <x:v>0.6041666666666666</x:v>
      </x:c>
      <x:c r="C22" s="27" t="n">
        <x:v>0.625</x:v>
      </x:c>
      <x:c r="D22" s="35" t="n">
        <x:v>51.37908496732026</x:v>
      </x:c>
      <x:c r="E22" t="n">
        <x:v>2</x:v>
      </x:c>
      <x:c r="F22" t="n">
        <x:v>2</x:v>
      </x:c>
      <x:c r="G22" s="36" t="n">
        <x:v>0.026061904067261662</x:v>
      </x:c>
      <x:c r="H22" s="36" t="n">
        <x:v>0.02564102564102564</x:v>
      </x:c>
      <x:c r="I22" s="36" t="n">
        <x:v>0.02564102564102564</x:v>
      </x:c>
      <x:c r="K22" t="str">
        <x:f>A22&amp;" "&amp;TEXT(B22,"hh:mm")</x:f>
        <x:v>outbound 14:30</x:v>
      </x:c>
      <x:c r="L22" s="36" t="n">
        <x:f>G22</x:f>
        <x:v>0.026061904067261662</x:v>
      </x:c>
      <x:c r="M22" s="36" t="n">
        <x:f>H22</x:f>
        <x:v>0.02564102564102564</x:v>
      </x:c>
      <x:c r="N22" s="36" t="n">
        <x:f>I22</x:f>
        <x:v>0.02564102564102564</x:v>
      </x:c>
    </x:row>
    <x:row r="23">
      <x:c r="A23" t="str">
        <x:v>outbound</x:v>
      </x:c>
      <x:c r="B23" s="27" t="n">
        <x:v>0.625</x:v>
      </x:c>
      <x:c r="C23" s="27" t="n">
        <x:v>0.6458333333333334</x:v>
      </x:c>
      <x:c r="D23" s="35" t="n">
        <x:v>57.73856209150327</x:v>
      </x:c>
      <x:c r="E23" t="n">
        <x:v>2</x:v>
      </x:c>
      <x:c r="F23" t="n">
        <x:v>2</x:v>
      </x:c>
      <x:c r="G23" s="36" t="n">
        <x:v>0.029287731908178287</x:v>
      </x:c>
      <x:c r="H23" s="36" t="n">
        <x:v>0.02564102564102564</x:v>
      </x:c>
      <x:c r="I23" s="36" t="n">
        <x:v>0.02564102564102564</x:v>
      </x:c>
      <x:c r="K23" t="str">
        <x:f>A23&amp;" "&amp;TEXT(B23,"hh:mm")</x:f>
        <x:v>outbound 15:00</x:v>
      </x:c>
      <x:c r="L23" s="36" t="n">
        <x:f>G23</x:f>
        <x:v>0.029287731908178287</x:v>
      </x:c>
      <x:c r="M23" s="36" t="n">
        <x:f>H23</x:f>
        <x:v>0.02564102564102564</x:v>
      </x:c>
      <x:c r="N23" s="36" t="n">
        <x:f>I23</x:f>
        <x:v>0.02564102564102564</x:v>
      </x:c>
    </x:row>
    <x:row r="24">
      <x:c r="A24" t="str">
        <x:v>outbound</x:v>
      </x:c>
      <x:c r="B24" s="27" t="n">
        <x:v>0.6458333333333334</x:v>
      </x:c>
      <x:c r="C24" s="27" t="n">
        <x:v>0.6666666666666666</x:v>
      </x:c>
      <x:c r="D24" s="35" t="n">
        <x:v>70.58169934640523</x:v>
      </x:c>
      <x:c r="E24" t="n">
        <x:v>2</x:v>
      </x:c>
      <x:c r="F24" t="n">
        <x:v>2</x:v>
      </x:c>
      <x:c r="G24" s="36" t="n">
        <x:v>0.03580237908947445</x:v>
      </x:c>
      <x:c r="H24" s="36" t="n">
        <x:v>0.02564102564102564</x:v>
      </x:c>
      <x:c r="I24" s="36" t="n">
        <x:v>0.02564102564102564</x:v>
      </x:c>
      <x:c r="K24" t="str">
        <x:f>A24&amp;" "&amp;TEXT(B24,"hh:mm")</x:f>
        <x:v>outbound 15:30</x:v>
      </x:c>
      <x:c r="L24" s="36" t="n">
        <x:f>G24</x:f>
        <x:v>0.03580237908947445</x:v>
      </x:c>
      <x:c r="M24" s="36" t="n">
        <x:f>H24</x:f>
        <x:v>0.02564102564102564</x:v>
      </x:c>
      <x:c r="N24" s="36" t="n">
        <x:f>I24</x:f>
        <x:v>0.02564102564102564</x:v>
      </x:c>
    </x:row>
    <x:row r="25">
      <x:c r="A25" t="str">
        <x:v>outbound</x:v>
      </x:c>
      <x:c r="B25" s="27" t="n">
        <x:v>0.6666666666666666</x:v>
      </x:c>
      <x:c r="C25" s="27" t="n">
        <x:v>0.6875</x:v>
      </x:c>
      <x:c r="D25" s="35" t="n">
        <x:v>98.98692810457516</x:v>
      </x:c>
      <x:c r="E25" t="n">
        <x:v>2</x:v>
      </x:c>
      <x:c r="F25" t="n">
        <x:v>3</x:v>
      </x:c>
      <x:c r="G25" s="36" t="n">
        <x:v>0.05021085575609691</x:v>
      </x:c>
      <x:c r="H25" s="36" t="n">
        <x:v>0.02564102564102564</x:v>
      </x:c>
      <x:c r="I25" s="36" t="n">
        <x:v>0.038461538461538464</x:v>
      </x:c>
      <x:c r="K25" t="str">
        <x:f>A25&amp;" "&amp;TEXT(B25,"hh:mm")</x:f>
        <x:v>outbound 16:00</x:v>
      </x:c>
      <x:c r="L25" s="36" t="n">
        <x:f>G25</x:f>
        <x:v>0.05021085575609691</x:v>
      </x:c>
      <x:c r="M25" s="36" t="n">
        <x:f>H25</x:f>
        <x:v>0.02564102564102564</x:v>
      </x:c>
      <x:c r="N25" s="36" t="n">
        <x:f>I25</x:f>
        <x:v>0.038461538461538464</x:v>
      </x:c>
    </x:row>
    <x:row r="26">
      <x:c r="A26" t="str">
        <x:v>outbound</x:v>
      </x:c>
      <x:c r="B26" s="27" t="n">
        <x:v>0.6875</x:v>
      </x:c>
      <x:c r="C26" s="27" t="n">
        <x:v>0.7083333333333334</x:v>
      </x:c>
      <x:c r="D26" s="35" t="n">
        <x:v>128.51633986928104</x:v>
      </x:c>
      <x:c r="E26" t="n">
        <x:v>4</x:v>
      </x:c>
      <x:c r="F26" t="n">
        <x:v>4</x:v>
      </x:c>
      <x:c r="G26" s="36" t="n">
        <x:v>0.06518957125996261</x:v>
      </x:c>
      <x:c r="H26" s="36" t="n">
        <x:v>0.05128205128205128</x:v>
      </x:c>
      <x:c r="I26" s="36" t="n">
        <x:v>0.05128205128205128</x:v>
      </x:c>
      <x:c r="K26" t="str">
        <x:f>A26&amp;" "&amp;TEXT(B26,"hh:mm")</x:f>
        <x:v>outbound 16:30</x:v>
      </x:c>
      <x:c r="L26" s="36" t="n">
        <x:f>G26</x:f>
        <x:v>0.06518957125996261</x:v>
      </x:c>
      <x:c r="M26" s="36" t="n">
        <x:f>H26</x:f>
        <x:v>0.05128205128205128</x:v>
      </x:c>
      <x:c r="N26" s="36" t="n">
        <x:f>I26</x:f>
        <x:v>0.05128205128205128</x:v>
      </x:c>
    </x:row>
    <x:row r="27">
      <x:c r="A27" t="str">
        <x:v>outbound</x:v>
      </x:c>
      <x:c r="B27" s="27" t="n">
        <x:v>0.7083333333333334</x:v>
      </x:c>
      <x:c r="C27" s="27" t="n">
        <x:v>0.7291666666666666</x:v>
      </x:c>
      <x:c r="D27" s="35" t="n">
        <x:v>123.50326797385621</x:v>
      </x:c>
      <x:c r="E27" t="n">
        <x:v>4</x:v>
      </x:c>
      <x:c r="F27" t="n">
        <x:v>4</x:v>
      </x:c>
      <x:c r="G27" s="36" t="n">
        <x:v>0.06264670388690706</x:v>
      </x:c>
      <x:c r="H27" s="36" t="n">
        <x:v>0.05128205128205128</x:v>
      </x:c>
      <x:c r="I27" s="36" t="n">
        <x:v>0.05128205128205128</x:v>
      </x:c>
      <x:c r="K27" t="str">
        <x:f>A27&amp;" "&amp;TEXT(B27,"hh:mm")</x:f>
        <x:v>outbound 17:00</x:v>
      </x:c>
      <x:c r="L27" s="36" t="n">
        <x:f>G27</x:f>
        <x:v>0.06264670388690706</x:v>
      </x:c>
      <x:c r="M27" s="36" t="n">
        <x:f>H27</x:f>
        <x:v>0.05128205128205128</x:v>
      </x:c>
      <x:c r="N27" s="36" t="n">
        <x:f>I27</x:f>
        <x:v>0.05128205128205128</x:v>
      </x:c>
    </x:row>
    <x:row r="28">
      <x:c r="A28" t="str">
        <x:v>outbound</x:v>
      </x:c>
      <x:c r="B28" s="27" t="n">
        <x:v>0.7291666666666666</x:v>
      </x:c>
      <x:c r="C28" s="27" t="n">
        <x:v>0.75</x:v>
      </x:c>
      <x:c r="D28" s="35" t="n">
        <x:v>69.91503267973856</x:v>
      </x:c>
      <x:c r="E28" t="n">
        <x:v>2</x:v>
      </x:c>
      <x:c r="F28" t="n">
        <x:v>2</x:v>
      </x:c>
      <x:c r="G28" s="36" t="n">
        <x:v>0.035464214197620914</x:v>
      </x:c>
      <x:c r="H28" s="36" t="n">
        <x:v>0.02564102564102564</x:v>
      </x:c>
      <x:c r="I28" s="36" t="n">
        <x:v>0.02564102564102564</x:v>
      </x:c>
      <x:c r="K28" t="str">
        <x:f>A28&amp;" "&amp;TEXT(B28,"hh:mm")</x:f>
        <x:v>outbound 17:30</x:v>
      </x:c>
      <x:c r="L28" s="36" t="n">
        <x:f>G28</x:f>
        <x:v>0.035464214197620914</x:v>
      </x:c>
      <x:c r="M28" s="36" t="n">
        <x:f>H28</x:f>
        <x:v>0.02564102564102564</x:v>
      </x:c>
      <x:c r="N28" s="36" t="n">
        <x:f>I28</x:f>
        <x:v>0.02564102564102564</x:v>
      </x:c>
    </x:row>
    <x:row r="29">
      <x:c r="A29" t="str">
        <x:v>outbound</x:v>
      </x:c>
      <x:c r="B29" s="27" t="n">
        <x:v>0.75</x:v>
      </x:c>
      <x:c r="C29" s="27" t="n">
        <x:v>0.7708333333333334</x:v>
      </x:c>
      <x:c r="D29" s="35" t="n">
        <x:v>56.36601307189542</x:v>
      </x:c>
      <x:c r="E29" t="n">
        <x:v>2</x:v>
      </x:c>
      <x:c r="F29" t="n">
        <x:v>2</x:v>
      </x:c>
      <x:c r="G29" s="36" t="n">
        <x:v>0.02859151007200923</x:v>
      </x:c>
      <x:c r="H29" s="36" t="n">
        <x:v>0.02564102564102564</x:v>
      </x:c>
      <x:c r="I29" s="36" t="n">
        <x:v>0.02564102564102564</x:v>
      </x:c>
      <x:c r="K29" t="str">
        <x:f>A29&amp;" "&amp;TEXT(B29,"hh:mm")</x:f>
        <x:v>outbound 18:00</x:v>
      </x:c>
      <x:c r="L29" s="36" t="n">
        <x:f>G29</x:f>
        <x:v>0.02859151007200923</x:v>
      </x:c>
      <x:c r="M29" s="36" t="n">
        <x:f>H29</x:f>
        <x:v>0.02564102564102564</x:v>
      </x:c>
      <x:c r="N29" s="36" t="n">
        <x:f>I29</x:f>
        <x:v>0.02564102564102564</x:v>
      </x:c>
    </x:row>
    <x:row r="30">
      <x:c r="A30" t="str">
        <x:v>outbound</x:v>
      </x:c>
      <x:c r="B30" s="27" t="n">
        <x:v>0.7708333333333334</x:v>
      </x:c>
      <x:c r="C30" s="27" t="n">
        <x:v>0.7916666666666666</x:v>
      </x:c>
      <x:c r="D30" s="35" t="n">
        <x:v>39.947712418300654</x:v>
      </x:c>
      <x:c r="E30" t="n">
        <x:v>2</x:v>
      </x:c>
      <x:c r="F30" t="n">
        <x:v>2</x:v>
      </x:c>
      <x:c r="G30" s="36" t="n">
        <x:v>0.020263370774596525</x:v>
      </x:c>
      <x:c r="H30" s="36" t="n">
        <x:v>0.02564102564102564</x:v>
      </x:c>
      <x:c r="I30" s="36" t="n">
        <x:v>0.02564102564102564</x:v>
      </x:c>
      <x:c r="K30" t="str">
        <x:f>A30&amp;" "&amp;TEXT(B30,"hh:mm")</x:f>
        <x:v>outbound 18:30</x:v>
      </x:c>
      <x:c r="L30" s="36" t="n">
        <x:f>G30</x:f>
        <x:v>0.020263370774596525</x:v>
      </x:c>
      <x:c r="M30" s="36" t="n">
        <x:f>H30</x:f>
        <x:v>0.02564102564102564</x:v>
      </x:c>
      <x:c r="N30" s="36" t="n">
        <x:f>I30</x:f>
        <x:v>0.02564102564102564</x:v>
      </x:c>
    </x:row>
    <x:row r="31">
      <x:c r="A31" t="str">
        <x:v>outbound</x:v>
      </x:c>
      <x:c r="B31" s="27" t="n">
        <x:v>0.7916666666666666</x:v>
      </x:c>
      <x:c r="C31" s="27" t="n">
        <x:v>0.8125</x:v>
      </x:c>
      <x:c r="D31" s="35" t="n">
        <x:v>33.666666666666664</x:v>
      </x:c>
      <x:c r="E31" t="n">
        <x:v>2</x:v>
      </x:c>
      <x:c r="F31" t="n">
        <x:v>2</x:v>
      </x:c>
      <x:c r="G31" s="36" t="n">
        <x:v>0.017077327038603842</x:v>
      </x:c>
      <x:c r="H31" s="36" t="n">
        <x:v>0.02564102564102564</x:v>
      </x:c>
      <x:c r="I31" s="36" t="n">
        <x:v>0.02564102564102564</x:v>
      </x:c>
      <x:c r="K31" t="str">
        <x:f>A31&amp;" "&amp;TEXT(B31,"hh:mm")</x:f>
        <x:v>outbound 19:00</x:v>
      </x:c>
      <x:c r="L31" s="36" t="n">
        <x:f>G31</x:f>
        <x:v>0.017077327038603842</x:v>
      </x:c>
      <x:c r="M31" s="36" t="n">
        <x:f>H31</x:f>
        <x:v>0.02564102564102564</x:v>
      </x:c>
      <x:c r="N31" s="36" t="n">
        <x:f>I31</x:f>
        <x:v>0.02564102564102564</x:v>
      </x:c>
    </x:row>
    <x:row r="32">
      <x:c r="A32" t="str">
        <x:v>outbound</x:v>
      </x:c>
      <x:c r="B32" s="27" t="n">
        <x:v>0.8125</x:v>
      </x:c>
      <x:c r="C32" s="27" t="n">
        <x:v>0.8333333333333334</x:v>
      </x:c>
      <x:c r="D32" s="35" t="n">
        <x:v>32.20261437908497</x:v>
      </x:c>
      <x:c r="E32" t="n">
        <x:v>2</x:v>
      </x:c>
      <x:c r="F32" t="n">
        <x:v>2</x:v>
      </x:c>
      <x:c r="G32" s="36" t="n">
        <x:v>0.01633469041335685</x:v>
      </x:c>
      <x:c r="H32" s="36" t="n">
        <x:v>0.02564102564102564</x:v>
      </x:c>
      <x:c r="I32" s="36" t="n">
        <x:v>0.02564102564102564</x:v>
      </x:c>
      <x:c r="K32" t="str">
        <x:f>A32&amp;" "&amp;TEXT(B32,"hh:mm")</x:f>
        <x:v>outbound 19:30</x:v>
      </x:c>
      <x:c r="L32" s="36" t="n">
        <x:f>G32</x:f>
        <x:v>0.01633469041335685</x:v>
      </x:c>
      <x:c r="M32" s="36" t="n">
        <x:f>H32</x:f>
        <x:v>0.02564102564102564</x:v>
      </x:c>
      <x:c r="N32" s="36" t="n">
        <x:f>I32</x:f>
        <x:v>0.02564102564102564</x:v>
      </x:c>
    </x:row>
    <x:row r="33">
      <x:c r="A33" t="str">
        <x:v>outbound</x:v>
      </x:c>
      <x:c r="B33" s="27" t="n">
        <x:v>0.8333333333333334</x:v>
      </x:c>
      <x:c r="C33" s="27" t="n">
        <x:v>0.8541666666666666</x:v>
      </x:c>
      <x:c r="D33" s="35" t="n">
        <x:v>24.980392156862745</x:v>
      </x:c>
      <x:c r="E33" t="n">
        <x:v>2</x:v>
      </x:c>
      <x:c r="F33" t="n">
        <x:v>2</x:v>
      </x:c>
      <x:c r="G33" s="36" t="n">
        <x:v>0.012671237418276818</x:v>
      </x:c>
      <x:c r="H33" s="36" t="n">
        <x:v>0.02564102564102564</x:v>
      </x:c>
      <x:c r="I33" s="36" t="n">
        <x:v>0.02564102564102564</x:v>
      </x:c>
      <x:c r="K33" t="str">
        <x:f>A33&amp;" "&amp;TEXT(B33,"hh:mm")</x:f>
        <x:v>outbound 20:00</x:v>
      </x:c>
      <x:c r="L33" s="36" t="n">
        <x:f>G33</x:f>
        <x:v>0.012671237418276818</x:v>
      </x:c>
      <x:c r="M33" s="36" t="n">
        <x:f>H33</x:f>
        <x:v>0.02564102564102564</x:v>
      </x:c>
      <x:c r="N33" s="36" t="n">
        <x:f>I33</x:f>
        <x:v>0.02564102564102564</x:v>
      </x:c>
    </x:row>
    <x:row r="34">
      <x:c r="A34" t="str">
        <x:v>outbound</x:v>
      </x:c>
      <x:c r="B34" s="27" t="n">
        <x:v>0.8541666666666666</x:v>
      </x:c>
      <x:c r="C34" s="27" t="n">
        <x:v>0.875</x:v>
      </x:c>
      <x:c r="D34" s="35" t="n">
        <x:v>15.666666666666666</x:v>
      </x:c>
      <x:c r="E34" t="n">
        <x:v>2</x:v>
      </x:c>
      <x:c r="F34" t="n">
        <x:v>2</x:v>
      </x:c>
      <x:c r="G34" s="36" t="n">
        <x:v>0.007946874958558224</x:v>
      </x:c>
      <x:c r="H34" s="36" t="n">
        <x:v>0.02564102564102564</x:v>
      </x:c>
      <x:c r="I34" s="36" t="n">
        <x:v>0.02564102564102564</x:v>
      </x:c>
      <x:c r="K34" t="str">
        <x:f>A34&amp;" "&amp;TEXT(B34,"hh:mm")</x:f>
        <x:v>outbound 20:30</x:v>
      </x:c>
      <x:c r="L34" s="36" t="n">
        <x:f>G34</x:f>
        <x:v>0.007946874958558224</x:v>
      </x:c>
      <x:c r="M34" s="36" t="n">
        <x:f>H34</x:f>
        <x:v>0.02564102564102564</x:v>
      </x:c>
      <x:c r="N34" s="36" t="n">
        <x:f>I34</x:f>
        <x:v>0.02564102564102564</x:v>
      </x:c>
    </x:row>
    <x:row r="35">
      <x:c r="A35" t="str">
        <x:v>outbound</x:v>
      </x:c>
      <x:c r="B35" s="27" t="n">
        <x:v>0.875</x:v>
      </x:c>
      <x:c r="C35" s="27" t="n">
        <x:v>0.8958333333333334</x:v>
      </x:c>
      <x:c r="D35" s="35" t="n">
        <x:v>3.2026143790849675</x:v>
      </x:c>
      <x:c r="E35" t="n">
        <x:v>1</x:v>
      </x:c>
      <x:c r="F35" t="n">
        <x:v>1</x:v>
      </x:c>
      <x:c r="G35" s="36" t="n">
        <x:v>0.0016245176177277973</x:v>
      </x:c>
      <x:c r="H35" s="36" t="n">
        <x:v>0.01282051282051282</x:v>
      </x:c>
      <x:c r="I35" s="36" t="n">
        <x:v>0.01282051282051282</x:v>
      </x:c>
      <x:c r="K35" t="str">
        <x:f>A35&amp;" "&amp;TEXT(B35,"hh:mm")</x:f>
        <x:v>outbound 21:00</x:v>
      </x:c>
      <x:c r="L35" s="36" t="n">
        <x:f>G35</x:f>
        <x:v>0.0016245176177277973</x:v>
      </x:c>
      <x:c r="M35" s="36" t="n">
        <x:f>H35</x:f>
        <x:v>0.01282051282051282</x:v>
      </x:c>
      <x:c r="N35" s="36" t="n">
        <x:f>I35</x:f>
        <x:v>0.01282051282051282</x:v>
      </x:c>
    </x:row>
    <x:row r="36">
      <x:c r="A36" t="str">
        <x:v>inbound</x:v>
      </x:c>
      <x:c r="B36" s="27" t="n">
        <x:v>0.1875</x:v>
      </x:c>
      <x:c r="C36" s="27" t="n">
        <x:v>0.20833333333333334</x:v>
      </x:c>
      <x:c r="D36" s="35" t="n">
        <x:v>14.013071895424837</x:v>
      </x:c>
      <x:c r="E36" t="n">
        <x:v>1</x:v>
      </x:c>
      <x:c r="F36" t="n">
        <x:v>1</x:v>
      </x:c>
      <x:c r="G36" s="36" t="n">
        <x:v>0.0066719154060875</x:v>
      </x:c>
      <x:c r="H36" s="36" t="n">
        <x:v>0.01282051282051282</x:v>
      </x:c>
      <x:c r="I36" s="36" t="n">
        <x:v>0.01282051282051282</x:v>
      </x:c>
      <x:c r="K36" t="str">
        <x:f>A36&amp;" "&amp;TEXT(B36,"hh:mm")</x:f>
        <x:v>inbound 04:30</x:v>
      </x:c>
      <x:c r="L36" s="36" t="n">
        <x:f>G36</x:f>
        <x:v>0.0066719154060875</x:v>
      </x:c>
      <x:c r="M36" s="36" t="n">
        <x:f>H36</x:f>
        <x:v>0.01282051282051282</x:v>
      </x:c>
      <x:c r="N36" s="36" t="n">
        <x:f>I36</x:f>
        <x:v>0.01282051282051282</x:v>
      </x:c>
    </x:row>
    <x:row r="37">
      <x:c r="A37" t="str">
        <x:v>inbound</x:v>
      </x:c>
      <x:c r="B37" s="27" t="n">
        <x:v>0.20833333333333334</x:v>
      </x:c>
      <x:c r="C37" s="27" t="n">
        <x:v>0.22916666666666666</x:v>
      </x:c>
      <x:c r="D37" s="35" t="n">
        <x:v>35.5359477124183</x:v>
      </x:c>
      <x:c r="E37" t="n">
        <x:v>2</x:v>
      </x:c>
      <x:c r="F37" t="n">
        <x:v>2</x:v>
      </x:c>
      <x:c r="G37" s="36" t="n">
        <x:v>0.0169194048800829</x:v>
      </x:c>
      <x:c r="H37" s="36" t="n">
        <x:v>0.02564102564102564</x:v>
      </x:c>
      <x:c r="I37" s="36" t="n">
        <x:v>0.02564102564102564</x:v>
      </x:c>
      <x:c r="K37" t="str">
        <x:f>A37&amp;" "&amp;TEXT(B37,"hh:mm")</x:f>
        <x:v>inbound 05:00</x:v>
      </x:c>
      <x:c r="L37" s="36" t="n">
        <x:f>G37</x:f>
        <x:v>0.0169194048800829</x:v>
      </x:c>
      <x:c r="M37" s="36" t="n">
        <x:f>H37</x:f>
        <x:v>0.02564102564102564</x:v>
      </x:c>
      <x:c r="N37" s="36" t="n">
        <x:f>I37</x:f>
        <x:v>0.02564102564102564</x:v>
      </x:c>
    </x:row>
    <x:row r="38">
      <x:c r="A38" t="str">
        <x:v>inbound</x:v>
      </x:c>
      <x:c r="B38" s="27" t="n">
        <x:v>0.22916666666666666</x:v>
      </x:c>
      <x:c r="C38" s="27" t="n">
        <x:v>0.25</x:v>
      </x:c>
      <x:c r="D38" s="35" t="n">
        <x:v>67.15686274509804</x:v>
      </x:c>
      <x:c r="E38" t="n">
        <x:v>2</x:v>
      </x:c>
      <x:c r="F38" t="n">
        <x:v>2</x:v>
      </x:c>
      <x:c r="G38" s="36" t="n">
        <x:v>0.031974781155573256</x:v>
      </x:c>
      <x:c r="H38" s="36" t="n">
        <x:v>0.02564102564102564</x:v>
      </x:c>
      <x:c r="I38" s="36" t="n">
        <x:v>0.02564102564102564</x:v>
      </x:c>
      <x:c r="K38" t="str">
        <x:f>A38&amp;" "&amp;TEXT(B38,"hh:mm")</x:f>
        <x:v>inbound 05:30</x:v>
      </x:c>
      <x:c r="L38" s="36" t="n">
        <x:f>G38</x:f>
        <x:v>0.031974781155573256</x:v>
      </x:c>
      <x:c r="M38" s="36" t="n">
        <x:f>H38</x:f>
        <x:v>0.02564102564102564</x:v>
      </x:c>
      <x:c r="N38" s="36" t="n">
        <x:f>I38</x:f>
        <x:v>0.02564102564102564</x:v>
      </x:c>
    </x:row>
    <x:row r="39">
      <x:c r="A39" t="str">
        <x:v>inbound</x:v>
      </x:c>
      <x:c r="B39" s="27" t="n">
        <x:v>0.25</x:v>
      </x:c>
      <x:c r="C39" s="27" t="n">
        <x:v>0.2708333333333333</x:v>
      </x:c>
      <x:c r="D39" s="35" t="n">
        <x:v>81.05228758169935</x:v>
      </x:c>
      <x:c r="E39" t="n">
        <x:v>2</x:v>
      </x:c>
      <x:c r="F39" t="n">
        <x:v>3</x:v>
      </x:c>
      <x:c r="G39" s="36" t="n">
        <x:v>0.038590682346497714</x:v>
      </x:c>
      <x:c r="H39" s="36" t="n">
        <x:v>0.02564102564102564</x:v>
      </x:c>
      <x:c r="I39" s="36" t="n">
        <x:v>0.038461538461538464</x:v>
      </x:c>
      <x:c r="K39" t="str">
        <x:f>A39&amp;" "&amp;TEXT(B39,"hh:mm")</x:f>
        <x:v>inbound 06:00</x:v>
      </x:c>
      <x:c r="L39" s="36" t="n">
        <x:f>G39</x:f>
        <x:v>0.038590682346497714</x:v>
      </x:c>
      <x:c r="M39" s="36" t="n">
        <x:f>H39</x:f>
        <x:v>0.02564102564102564</x:v>
      </x:c>
      <x:c r="N39" s="36" t="n">
        <x:f>I39</x:f>
        <x:v>0.038461538461538464</x:v>
      </x:c>
    </x:row>
    <x:row r="40">
      <x:c r="A40" t="str">
        <x:v>inbound</x:v>
      </x:c>
      <x:c r="B40" s="27" t="n">
        <x:v>0.2708333333333333</x:v>
      </x:c>
      <x:c r="C40" s="27" t="n">
        <x:v>0.2916666666666667</x:v>
      </x:c>
      <x:c r="D40" s="35" t="n">
        <x:v>150.01307189542484</x:v>
      </x:c>
      <x:c r="E40" t="n">
        <x:v>4</x:v>
      </x:c>
      <x:c r="F40" t="n">
        <x:v>3</x:v>
      </x:c>
      <x:c r="G40" s="36" t="n">
        <x:v>0.07142434813457105</x:v>
      </x:c>
      <x:c r="H40" s="36" t="n">
        <x:v>0.05128205128205128</x:v>
      </x:c>
      <x:c r="I40" s="36" t="n">
        <x:v>0.038461538461538464</x:v>
      </x:c>
      <x:c r="K40" t="str">
        <x:f>A40&amp;" "&amp;TEXT(B40,"hh:mm")</x:f>
        <x:v>inbound 06:30</x:v>
      </x:c>
      <x:c r="L40" s="36" t="n">
        <x:f>G40</x:f>
        <x:v>0.07142434813457105</x:v>
      </x:c>
      <x:c r="M40" s="36" t="n">
        <x:f>H40</x:f>
        <x:v>0.05128205128205128</x:v>
      </x:c>
      <x:c r="N40" s="36" t="n">
        <x:f>I40</x:f>
        <x:v>0.038461538461538464</x:v>
      </x:c>
    </x:row>
    <x:row r="41">
      <x:c r="A41" t="str">
        <x:v>inbound</x:v>
      </x:c>
      <x:c r="B41" s="27" t="n">
        <x:v>0.2916666666666667</x:v>
      </x:c>
      <x:c r="C41" s="27" t="n">
        <x:v>0.3125</x:v>
      </x:c>
      <x:c r="D41" s="35" t="n">
        <x:v>118.52941176470588</x:v>
      </x:c>
      <x:c r="E41" t="n">
        <x:v>3</x:v>
      </x:c>
      <x:c r="F41" t="n">
        <x:v>4</x:v>
      </x:c>
      <x:c r="G41" s="36" t="n">
        <x:v>0.05643432177677091</x:v>
      </x:c>
      <x:c r="H41" s="36" t="n">
        <x:v>0.038461538461538464</x:v>
      </x:c>
      <x:c r="I41" s="36" t="n">
        <x:v>0.05128205128205128</x:v>
      </x:c>
      <x:c r="K41" t="str">
        <x:f>A41&amp;" "&amp;TEXT(B41,"hh:mm")</x:f>
        <x:v>inbound 07:00</x:v>
      </x:c>
      <x:c r="L41" s="36" t="n">
        <x:f>G41</x:f>
        <x:v>0.05643432177677091</x:v>
      </x:c>
      <x:c r="M41" s="36" t="n">
        <x:f>H41</x:f>
        <x:v>0.038461538461538464</x:v>
      </x:c>
      <x:c r="N41" s="36" t="n">
        <x:f>I41</x:f>
        <x:v>0.05128205128205128</x:v>
      </x:c>
    </x:row>
    <x:row r="42">
      <x:c r="A42" t="str">
        <x:v>inbound</x:v>
      </x:c>
      <x:c r="B42" s="27" t="n">
        <x:v>0.3125</x:v>
      </x:c>
      <x:c r="C42" s="27" t="n">
        <x:v>0.3333333333333333</x:v>
      </x:c>
      <x:c r="D42" s="35" t="n">
        <x:v>84.16339869281046</x:v>
      </x:c>
      <x:c r="E42" t="n">
        <x:v>3</x:v>
      </x:c>
      <x:c r="F42" t="n">
        <x:v>2</x:v>
      </x:c>
      <x:c r="G42" s="36" t="n">
        <x:v>0.04007194714747609</x:v>
      </x:c>
      <x:c r="H42" s="36" t="n">
        <x:v>0.038461538461538464</x:v>
      </x:c>
      <x:c r="I42" s="36" t="n">
        <x:v>0.02564102564102564</x:v>
      </x:c>
      <x:c r="K42" t="str">
        <x:f>A42&amp;" "&amp;TEXT(B42,"hh:mm")</x:f>
        <x:v>inbound 07:30</x:v>
      </x:c>
      <x:c r="L42" s="36" t="n">
        <x:f>G42</x:f>
        <x:v>0.04007194714747609</x:v>
      </x:c>
      <x:c r="M42" s="36" t="n">
        <x:f>H42</x:f>
        <x:v>0.038461538461538464</x:v>
      </x:c>
      <x:c r="N42" s="36" t="n">
        <x:f>I42</x:f>
        <x:v>0.02564102564102564</x:v>
      </x:c>
    </x:row>
    <x:row r="43">
      <x:c r="A43" t="str">
        <x:v>inbound</x:v>
      </x:c>
      <x:c r="B43" s="27" t="n">
        <x:v>0.3333333333333333</x:v>
      </x:c>
      <x:c r="C43" s="27" t="n">
        <x:v>0.3541666666666667</x:v>
      </x:c>
      <x:c r="D43" s="35" t="n">
        <x:v>74.84313725490196</x:v>
      </x:c>
      <x:c r="E43" t="n">
        <x:v>2</x:v>
      </x:c>
      <x:c r="F43" t="n">
        <x:v>2</x:v>
      </x:c>
      <x:c r="G43" s="36" t="n">
        <x:v>0.035634376546225734</x:v>
      </x:c>
      <x:c r="H43" s="36" t="n">
        <x:v>0.02564102564102564</x:v>
      </x:c>
      <x:c r="I43" s="36" t="n">
        <x:v>0.02564102564102564</x:v>
      </x:c>
      <x:c r="K43" t="str">
        <x:f>A43&amp;" "&amp;TEXT(B43,"hh:mm")</x:f>
        <x:v>inbound 08:00</x:v>
      </x:c>
      <x:c r="L43" s="36" t="n">
        <x:f>G43</x:f>
        <x:v>0.035634376546225734</x:v>
      </x:c>
      <x:c r="M43" s="36" t="n">
        <x:f>H43</x:f>
        <x:v>0.02564102564102564</x:v>
      </x:c>
      <x:c r="N43" s="36" t="n">
        <x:f>I43</x:f>
        <x:v>0.02564102564102564</x:v>
      </x:c>
    </x:row>
    <x:row r="44">
      <x:c r="A44" t="str">
        <x:v>inbound</x:v>
      </x:c>
      <x:c r="B44" s="27" t="n">
        <x:v>0.3541666666666667</x:v>
      </x:c>
      <x:c r="C44" s="27" t="n">
        <x:v>0.375</x:v>
      </x:c>
      <x:c r="D44" s="35" t="n">
        <x:v>70.19607843137256</x:v>
      </x:c>
      <x:c r="E44" t="n">
        <x:v>2</x:v>
      </x:c>
      <x:c r="F44" t="n">
        <x:v>2</x:v>
      </x:c>
      <x:c r="G44" s="36" t="n">
        <x:v>0.033421815047285336</x:v>
      </x:c>
      <x:c r="H44" s="36" t="n">
        <x:v>0.02564102564102564</x:v>
      </x:c>
      <x:c r="I44" s="36" t="n">
        <x:v>0.02564102564102564</x:v>
      </x:c>
      <x:c r="K44" t="str">
        <x:f>A44&amp;" "&amp;TEXT(B44,"hh:mm")</x:f>
        <x:v>inbound 08:30</x:v>
      </x:c>
      <x:c r="L44" s="36" t="n">
        <x:f>G44</x:f>
        <x:v>0.033421815047285336</x:v>
      </x:c>
      <x:c r="M44" s="36" t="n">
        <x:f>H44</x:f>
        <x:v>0.02564102564102564</x:v>
      </x:c>
      <x:c r="N44" s="36" t="n">
        <x:f>I44</x:f>
        <x:v>0.02564102564102564</x:v>
      </x:c>
    </x:row>
    <x:row r="45">
      <x:c r="A45" t="str">
        <x:v>inbound</x:v>
      </x:c>
      <x:c r="B45" s="27" t="n">
        <x:v>0.375</x:v>
      </x:c>
      <x:c r="C45" s="27" t="n">
        <x:v>0.3958333333333333</x:v>
      </x:c>
      <x:c r="D45" s="35" t="n">
        <x:v>54.032679738562095</x:v>
      </x:c>
      <x:c r="E45" t="n">
        <x:v>2</x:v>
      </x:c>
      <x:c r="F45" t="n">
        <x:v>2</x:v>
      </x:c>
      <x:c r="G45" s="36" t="n">
        <x:v>0.02572608426405101</x:v>
      </x:c>
      <x:c r="H45" s="36" t="n">
        <x:v>0.02564102564102564</x:v>
      </x:c>
      <x:c r="I45" s="36" t="n">
        <x:v>0.02564102564102564</x:v>
      </x:c>
      <x:c r="K45" t="str">
        <x:f>A45&amp;" "&amp;TEXT(B45,"hh:mm")</x:f>
        <x:v>inbound 09:00</x:v>
      </x:c>
      <x:c r="L45" s="36" t="n">
        <x:f>G45</x:f>
        <x:v>0.02572608426405101</x:v>
      </x:c>
      <x:c r="M45" s="36" t="n">
        <x:f>H45</x:f>
        <x:v>0.02564102564102564</x:v>
      </x:c>
      <x:c r="N45" s="36" t="n">
        <x:f>I45</x:f>
        <x:v>0.02564102564102564</x:v>
      </x:c>
    </x:row>
    <x:row r="46">
      <x:c r="A46" t="str">
        <x:v>inbound</x:v>
      </x:c>
      <x:c r="B46" s="27" t="n">
        <x:v>0.3958333333333333</x:v>
      </x:c>
      <x:c r="C46" s="27" t="n">
        <x:v>0.4166666666666667</x:v>
      </x:c>
      <x:c r="D46" s="35" t="n">
        <x:v>57.42483660130719</x:v>
      </x:c>
      <x:c r="E46" t="n">
        <x:v>2</x:v>
      </x:c>
      <x:c r="F46" t="n">
        <x:v>3</x:v>
      </x:c>
      <x:c r="G46" s="36" t="n">
        <x:v>0.02734116080125223</x:v>
      </x:c>
      <x:c r="H46" s="36" t="n">
        <x:v>0.02564102564102564</x:v>
      </x:c>
      <x:c r="I46" s="36" t="n">
        <x:v>0.038461538461538464</x:v>
      </x:c>
      <x:c r="K46" t="str">
        <x:f>A46&amp;" "&amp;TEXT(B46,"hh:mm")</x:f>
        <x:v>inbound 09:30</x:v>
      </x:c>
      <x:c r="L46" s="36" t="n">
        <x:f>G46</x:f>
        <x:v>0.02734116080125223</x:v>
      </x:c>
      <x:c r="M46" s="36" t="n">
        <x:f>H46</x:f>
        <x:v>0.02564102564102564</x:v>
      </x:c>
      <x:c r="N46" s="36" t="n">
        <x:f>I46</x:f>
        <x:v>0.038461538461538464</x:v>
      </x:c>
    </x:row>
    <x:row r="47">
      <x:c r="A47" t="str">
        <x:v>inbound</x:v>
      </x:c>
      <x:c r="B47" s="27" t="n">
        <x:v>0.4166666666666667</x:v>
      </x:c>
      <x:c r="C47" s="27" t="n">
        <x:v>0.4375</x:v>
      </x:c>
      <x:c r="D47" s="35" t="n">
        <x:v>49.4640522875817</x:v>
      </x:c>
      <x:c r="E47" t="n">
        <x:v>2</x:v>
      </x:c>
      <x:c r="F47" t="n">
        <x:v>2</x:v>
      </x:c>
      <x:c r="G47" s="36" t="n">
        <x:v>0.02355086557521931</x:v>
      </x:c>
      <x:c r="H47" s="36" t="n">
        <x:v>0.02564102564102564</x:v>
      </x:c>
      <x:c r="I47" s="36" t="n">
        <x:v>0.02564102564102564</x:v>
      </x:c>
      <x:c r="K47" t="str">
        <x:f>A47&amp;" "&amp;TEXT(B47,"hh:mm")</x:f>
        <x:v>inbound 10:00</x:v>
      </x:c>
      <x:c r="L47" s="36" t="n">
        <x:f>G47</x:f>
        <x:v>0.02355086557521931</x:v>
      </x:c>
      <x:c r="M47" s="36" t="n">
        <x:f>H47</x:f>
        <x:v>0.02564102564102564</x:v>
      </x:c>
      <x:c r="N47" s="36" t="n">
        <x:f>I47</x:f>
        <x:v>0.02564102564102564</x:v>
      </x:c>
    </x:row>
    <x:row r="48">
      <x:c r="A48" t="str">
        <x:v>inbound</x:v>
      </x:c>
      <x:c r="B48" s="27" t="n">
        <x:v>0.4375</x:v>
      </x:c>
      <x:c r="C48" s="27" t="n">
        <x:v>0.4583333333333333</x:v>
      </x:c>
      <x:c r="D48" s="35" t="n">
        <x:v>81.91503267973856</x:v>
      </x:c>
      <x:c r="E48" t="n">
        <x:v>3</x:v>
      </x:c>
      <x:c r="F48" t="n">
        <x:v>3</x:v>
      </x:c>
      <x:c r="G48" s="36" t="n">
        <x:v>0.03900145325769339</x:v>
      </x:c>
      <x:c r="H48" s="36" t="n">
        <x:v>0.038461538461538464</x:v>
      </x:c>
      <x:c r="I48" s="36" t="n">
        <x:v>0.038461538461538464</x:v>
      </x:c>
      <x:c r="K48" t="str">
        <x:f>A48&amp;" "&amp;TEXT(B48,"hh:mm")</x:f>
        <x:v>inbound 10:30</x:v>
      </x:c>
      <x:c r="L48" s="36" t="n">
        <x:f>G48</x:f>
        <x:v>0.03900145325769339</x:v>
      </x:c>
      <x:c r="M48" s="36" t="n">
        <x:f>H48</x:f>
        <x:v>0.038461538461538464</x:v>
      </x:c>
      <x:c r="N48" s="36" t="n">
        <x:f>I48</x:f>
        <x:v>0.038461538461538464</x:v>
      </x:c>
    </x:row>
    <x:row r="49">
      <x:c r="A49" t="str">
        <x:v>inbound</x:v>
      </x:c>
      <x:c r="B49" s="27" t="n">
        <x:v>0.4583333333333333</x:v>
      </x:c>
      <x:c r="C49" s="27" t="n">
        <x:v>0.4791666666666667</x:v>
      </x:c>
      <x:c r="D49" s="35" t="n">
        <x:v>94.640522875817</x:v>
      </x:c>
      <x:c r="E49" t="n">
        <x:v>4</x:v>
      </x:c>
      <x:c r="F49" t="n">
        <x:v>3</x:v>
      </x:c>
      <x:c r="G49" s="36" t="n">
        <x:v>0.045060324197829765</x:v>
      </x:c>
      <x:c r="H49" s="36" t="n">
        <x:v>0.05128205128205128</x:v>
      </x:c>
      <x:c r="I49" s="36" t="n">
        <x:v>0.038461538461538464</x:v>
      </x:c>
      <x:c r="K49" t="str">
        <x:f>A49&amp;" "&amp;TEXT(B49,"hh:mm")</x:f>
        <x:v>inbound 11:00</x:v>
      </x:c>
      <x:c r="L49" s="36" t="n">
        <x:f>G49</x:f>
        <x:v>0.045060324197829765</x:v>
      </x:c>
      <x:c r="M49" s="36" t="n">
        <x:f>H49</x:f>
        <x:v>0.05128205128205128</x:v>
      </x:c>
      <x:c r="N49" s="36" t="n">
        <x:f>I49</x:f>
        <x:v>0.038461538461538464</x:v>
      </x:c>
    </x:row>
    <x:row r="50">
      <x:c r="A50" t="str">
        <x:v>inbound</x:v>
      </x:c>
      <x:c r="B50" s="27" t="n">
        <x:v>0.4791666666666667</x:v>
      </x:c>
      <x:c r="C50" s="27" t="n">
        <x:v>0.5</x:v>
      </x:c>
      <x:c r="D50" s="35" t="n">
        <x:v>88.30718954248366</x:v>
      </x:c>
      <x:c r="E50" t="n">
        <x:v>3</x:v>
      </x:c>
      <x:c r="F50" t="n">
        <x:v>3</x:v>
      </x:c>
      <x:c r="G50" s="36" t="n">
        <x:v>0.04204489228155234</x:v>
      </x:c>
      <x:c r="H50" s="36" t="n">
        <x:v>0.038461538461538464</x:v>
      </x:c>
      <x:c r="I50" s="36" t="n">
        <x:v>0.038461538461538464</x:v>
      </x:c>
      <x:c r="K50" t="str">
        <x:f>A50&amp;" "&amp;TEXT(B50,"hh:mm")</x:f>
        <x:v>inbound 11:30</x:v>
      </x:c>
      <x:c r="L50" s="36" t="n">
        <x:f>G50</x:f>
        <x:v>0.04204489228155234</x:v>
      </x:c>
      <x:c r="M50" s="36" t="n">
        <x:f>H50</x:f>
        <x:v>0.038461538461538464</x:v>
      </x:c>
      <x:c r="N50" s="36" t="n">
        <x:f>I50</x:f>
        <x:v>0.038461538461538464</x:v>
      </x:c>
    </x:row>
    <x:row r="51">
      <x:c r="A51" t="str">
        <x:v>inbound</x:v>
      </x:c>
      <x:c r="B51" s="27" t="n">
        <x:v>0.5</x:v>
      </x:c>
      <x:c r="C51" s="27" t="n">
        <x:v>0.5208333333333334</x:v>
      </x:c>
      <x:c r="D51" s="35" t="n">
        <x:v>62.549019607843135</x:v>
      </x:c>
      <x:c r="E51" t="n">
        <x:v>2</x:v>
      </x:c>
      <x:c r="F51" t="n">
        <x:v>2</x:v>
      </x:c>
      <x:c r="G51" s="36" t="n">
        <x:v>0.029780891061687208</x:v>
      </x:c>
      <x:c r="H51" s="36" t="n">
        <x:v>0.02564102564102564</x:v>
      </x:c>
      <x:c r="I51" s="36" t="n">
        <x:v>0.02564102564102564</x:v>
      </x:c>
      <x:c r="K51" t="str">
        <x:f>A51&amp;" "&amp;TEXT(B51,"hh:mm")</x:f>
        <x:v>inbound 12:00</x:v>
      </x:c>
      <x:c r="L51" s="36" t="n">
        <x:f>G51</x:f>
        <x:v>0.029780891061687208</x:v>
      </x:c>
      <x:c r="M51" s="36" t="n">
        <x:f>H51</x:f>
        <x:v>0.02564102564102564</x:v>
      </x:c>
      <x:c r="N51" s="36" t="n">
        <x:f>I51</x:f>
        <x:v>0.02564102564102564</x:v>
      </x:c>
    </x:row>
    <x:row r="52">
      <x:c r="A52" t="str">
        <x:v>inbound</x:v>
      </x:c>
      <x:c r="B52" s="27" t="n">
        <x:v>0.5208333333333334</x:v>
      </x:c>
      <x:c r="C52" s="27" t="n">
        <x:v>0.5416666666666666</x:v>
      </x:c>
      <x:c r="D52" s="35" t="n">
        <x:v>46.529411764705884</x:v>
      </x:c>
      <x:c r="E52" t="n">
        <x:v>2</x:v>
      </x:c>
      <x:c r="F52" t="n">
        <x:v>2</x:v>
      </x:c>
      <x:c r="G52" s="36" t="n">
        <x:v>0.0221536220969855</x:v>
      </x:c>
      <x:c r="H52" s="36" t="n">
        <x:v>0.02564102564102564</x:v>
      </x:c>
      <x:c r="I52" s="36" t="n">
        <x:v>0.02564102564102564</x:v>
      </x:c>
      <x:c r="K52" t="str">
        <x:f>A52&amp;" "&amp;TEXT(B52,"hh:mm")</x:f>
        <x:v>inbound 12:30</x:v>
      </x:c>
      <x:c r="L52" s="36" t="n">
        <x:f>G52</x:f>
        <x:v>0.0221536220969855</x:v>
      </x:c>
      <x:c r="M52" s="36" t="n">
        <x:f>H52</x:f>
        <x:v>0.02564102564102564</x:v>
      </x:c>
      <x:c r="N52" s="36" t="n">
        <x:f>I52</x:f>
        <x:v>0.02564102564102564</x:v>
      </x:c>
    </x:row>
    <x:row r="53">
      <x:c r="A53" t="str">
        <x:v>inbound</x:v>
      </x:c>
      <x:c r="B53" s="27" t="n">
        <x:v>0.5416666666666666</x:v>
      </x:c>
      <x:c r="C53" s="27" t="n">
        <x:v>0.5625</x:v>
      </x:c>
      <x:c r="D53" s="35" t="n">
        <x:v>43.12418300653595</x:v>
      </x:c>
      <x:c r="E53" t="n">
        <x:v>2</x:v>
      </x:c>
      <x:c r="F53" t="n">
        <x:v>2</x:v>
      </x:c>
      <x:c r="G53" s="36" t="n">
        <x:v>0.020532321758099503</x:v>
      </x:c>
      <x:c r="H53" s="36" t="n">
        <x:v>0.02564102564102564</x:v>
      </x:c>
      <x:c r="I53" s="36" t="n">
        <x:v>0.02564102564102564</x:v>
      </x:c>
      <x:c r="K53" t="str">
        <x:f>A53&amp;" "&amp;TEXT(B53,"hh:mm")</x:f>
        <x:v>inbound 13:00</x:v>
      </x:c>
      <x:c r="L53" s="36" t="n">
        <x:f>G53</x:f>
        <x:v>0.020532321758099503</x:v>
      </x:c>
      <x:c r="M53" s="36" t="n">
        <x:f>H53</x:f>
        <x:v>0.02564102564102564</x:v>
      </x:c>
      <x:c r="N53" s="36" t="n">
        <x:f>I53</x:f>
        <x:v>0.02564102564102564</x:v>
      </x:c>
    </x:row>
    <x:row r="54">
      <x:c r="A54" t="str">
        <x:v>inbound</x:v>
      </x:c>
      <x:c r="B54" s="27" t="n">
        <x:v>0.5625</x:v>
      </x:c>
      <x:c r="C54" s="27" t="n">
        <x:v>0.5833333333333334</x:v>
      </x:c>
      <x:c r="D54" s="35" t="n">
        <x:v>46.810457516339866</x:v>
      </x:c>
      <x:c r="E54" t="n">
        <x:v>2</x:v>
      </x:c>
      <x:c r="F54" t="n">
        <x:v>2</x:v>
      </x:c>
      <x:c r="G54" s="36" t="n">
        <x:v>0.022287433833208338</x:v>
      </x:c>
      <x:c r="H54" s="36" t="n">
        <x:v>0.02564102564102564</x:v>
      </x:c>
      <x:c r="I54" s="36" t="n">
        <x:v>0.02564102564102564</x:v>
      </x:c>
      <x:c r="K54" t="str">
        <x:f>A54&amp;" "&amp;TEXT(B54,"hh:mm")</x:f>
        <x:v>inbound 13:30</x:v>
      </x:c>
      <x:c r="L54" s="36" t="n">
        <x:f>G54</x:f>
        <x:v>0.022287433833208338</x:v>
      </x:c>
      <x:c r="M54" s="36" t="n">
        <x:f>H54</x:f>
        <x:v>0.02564102564102564</x:v>
      </x:c>
      <x:c r="N54" s="36" t="n">
        <x:f>I54</x:f>
        <x:v>0.02564102564102564</x:v>
      </x:c>
    </x:row>
    <x:row r="55">
      <x:c r="A55" t="str">
        <x:v>inbound</x:v>
      </x:c>
      <x:c r="B55" s="27" t="n">
        <x:v>0.5833333333333334</x:v>
      </x:c>
      <x:c r="C55" s="27" t="n">
        <x:v>0.6041666666666666</x:v>
      </x:c>
      <x:c r="D55" s="35" t="n">
        <x:v>55.66013071895425</x:v>
      </x:c>
      <x:c r="E55" t="n">
        <x:v>2</x:v>
      </x:c>
      <x:c r="F55" t="n">
        <x:v>2</x:v>
      </x:c>
      <x:c r="G55" s="36" t="n">
        <x:v>0.02650094757380651</x:v>
      </x:c>
      <x:c r="H55" s="36" t="n">
        <x:v>0.02564102564102564</x:v>
      </x:c>
      <x:c r="I55" s="36" t="n">
        <x:v>0.02564102564102564</x:v>
      </x:c>
      <x:c r="K55" t="str">
        <x:f>A55&amp;" "&amp;TEXT(B55,"hh:mm")</x:f>
        <x:v>inbound 14:00</x:v>
      </x:c>
      <x:c r="L55" s="36" t="n">
        <x:f>G55</x:f>
        <x:v>0.02650094757380651</x:v>
      </x:c>
      <x:c r="M55" s="36" t="n">
        <x:f>H55</x:f>
        <x:v>0.02564102564102564</x:v>
      </x:c>
      <x:c r="N55" s="36" t="n">
        <x:f>I55</x:f>
        <x:v>0.02564102564102564</x:v>
      </x:c>
    </x:row>
    <x:row r="56">
      <x:c r="A56" t="str">
        <x:v>inbound</x:v>
      </x:c>
      <x:c r="B56" s="27" t="n">
        <x:v>0.6041666666666666</x:v>
      </x:c>
      <x:c r="C56" s="27" t="n">
        <x:v>0.625</x:v>
      </x:c>
      <x:c r="D56" s="35" t="n">
        <x:v>65.84313725490196</x:v>
      </x:c>
      <x:c r="E56" t="n">
        <x:v>2</x:v>
      </x:c>
      <x:c r="F56" t="n">
        <x:v>2</x:v>
      </x:c>
      <x:c r="G56" s="36" t="n">
        <x:v>0.031349289086252556</x:v>
      </x:c>
      <x:c r="H56" s="36" t="n">
        <x:v>0.02564102564102564</x:v>
      </x:c>
      <x:c r="I56" s="36" t="n">
        <x:v>0.02564102564102564</x:v>
      </x:c>
      <x:c r="K56" t="str">
        <x:f>A56&amp;" "&amp;TEXT(B56,"hh:mm")</x:f>
        <x:v>inbound 14:30</x:v>
      </x:c>
      <x:c r="L56" s="36" t="n">
        <x:f>G56</x:f>
        <x:v>0.031349289086252556</x:v>
      </x:c>
      <x:c r="M56" s="36" t="n">
        <x:f>H56</x:f>
        <x:v>0.02564102564102564</x:v>
      </x:c>
      <x:c r="N56" s="36" t="n">
        <x:f>I56</x:f>
        <x:v>0.02564102564102564</x:v>
      </x:c>
    </x:row>
    <x:row r="57">
      <x:c r="A57" t="str">
        <x:v>inbound</x:v>
      </x:c>
      <x:c r="B57" s="27" t="n">
        <x:v>0.625</x:v>
      </x:c>
      <x:c r="C57" s="27" t="n">
        <x:v>0.6458333333333334</x:v>
      </x:c>
      <x:c r="D57" s="35" t="n">
        <x:v>60.79738562091503</x:v>
      </x:c>
      <x:c r="E57" t="n">
        <x:v>2</x:v>
      </x:c>
      <x:c r="F57" t="n">
        <x:v>2</x:v>
      </x:c>
      <x:c r="G57" s="36" t="n">
        <x:v>0.02894690163592627</x:v>
      </x:c>
      <x:c r="H57" s="36" t="n">
        <x:v>0.02564102564102564</x:v>
      </x:c>
      <x:c r="I57" s="36" t="n">
        <x:v>0.02564102564102564</x:v>
      </x:c>
      <x:c r="K57" t="str">
        <x:f>A57&amp;" "&amp;TEXT(B57,"hh:mm")</x:f>
        <x:v>inbound 15:00</x:v>
      </x:c>
      <x:c r="L57" s="36" t="n">
        <x:f>G57</x:f>
        <x:v>0.02894690163592627</x:v>
      </x:c>
      <x:c r="M57" s="36" t="n">
        <x:f>H57</x:f>
        <x:v>0.02564102564102564</x:v>
      </x:c>
      <x:c r="N57" s="36" t="n">
        <x:f>I57</x:f>
        <x:v>0.02564102564102564</x:v>
      </x:c>
    </x:row>
    <x:row r="58">
      <x:c r="A58" t="str">
        <x:v>inbound</x:v>
      </x:c>
      <x:c r="B58" s="27" t="n">
        <x:v>0.6458333333333334</x:v>
      </x:c>
      <x:c r="C58" s="27" t="n">
        <x:v>0.6666666666666666</x:v>
      </x:c>
      <x:c r="D58" s="35" t="n">
        <x:v>71.33333333333333</x:v>
      </x:c>
      <x:c r="E58" t="n">
        <x:v>2</x:v>
      </x:c>
      <x:c r="F58" t="n">
        <x:v>2</x:v>
      </x:c>
      <x:c r="G58" s="36" t="n">
        <x:v>0.03396328579386146</x:v>
      </x:c>
      <x:c r="H58" s="36" t="n">
        <x:v>0.02564102564102564</x:v>
      </x:c>
      <x:c r="I58" s="36" t="n">
        <x:v>0.02564102564102564</x:v>
      </x:c>
      <x:c r="K58" t="str">
        <x:f>A58&amp;" "&amp;TEXT(B58,"hh:mm")</x:f>
        <x:v>inbound 15:30</x:v>
      </x:c>
      <x:c r="L58" s="36" t="n">
        <x:f>G58</x:f>
        <x:v>0.03396328579386146</x:v>
      </x:c>
      <x:c r="M58" s="36" t="n">
        <x:f>H58</x:f>
        <x:v>0.02564102564102564</x:v>
      </x:c>
      <x:c r="N58" s="36" t="n">
        <x:f>I58</x:f>
        <x:v>0.02564102564102564</x:v>
      </x:c>
    </x:row>
    <x:row r="59">
      <x:c r="A59" t="str">
        <x:v>inbound</x:v>
      </x:c>
      <x:c r="B59" s="27" t="n">
        <x:v>0.6666666666666666</x:v>
      </x:c>
      <x:c r="C59" s="27" t="n">
        <x:v>0.6875</x:v>
      </x:c>
      <x:c r="D59" s="35" t="n">
        <x:v>103.17647058823529</x:v>
      </x:c>
      <x:c r="E59" t="n">
        <x:v>2</x:v>
      </x:c>
      <x:c r="F59" t="n">
        <x:v>4</x:v>
      </x:c>
      <x:c r="G59" s="36" t="n">
        <x:v>0.049124466697993134</x:v>
      </x:c>
      <x:c r="H59" s="36" t="n">
        <x:v>0.02564102564102564</x:v>
      </x:c>
      <x:c r="I59" s="36" t="n">
        <x:v>0.05128205128205128</x:v>
      </x:c>
      <x:c r="K59" t="str">
        <x:f>A59&amp;" "&amp;TEXT(B59,"hh:mm")</x:f>
        <x:v>inbound 16:00</x:v>
      </x:c>
      <x:c r="L59" s="36" t="n">
        <x:f>G59</x:f>
        <x:v>0.049124466697993134</x:v>
      </x:c>
      <x:c r="M59" s="36" t="n">
        <x:f>H59</x:f>
        <x:v>0.02564102564102564</x:v>
      </x:c>
      <x:c r="N59" s="36" t="n">
        <x:f>I59</x:f>
        <x:v>0.05128205128205128</x:v>
      </x:c>
    </x:row>
    <x:row r="60">
      <x:c r="A60" t="str">
        <x:v>inbound</x:v>
      </x:c>
      <x:c r="B60" s="27" t="n">
        <x:v>0.6875</x:v>
      </x:c>
      <x:c r="C60" s="27" t="n">
        <x:v>0.7083333333333334</x:v>
      </x:c>
      <x:c r="D60" s="35" t="n">
        <x:v>150.18300653594773</x:v>
      </x:c>
      <x:c r="E60" t="n">
        <x:v>4</x:v>
      </x:c>
      <x:c r="F60" t="n">
        <x:v>3</x:v>
      </x:c>
      <x:c r="G60" s="36" t="n">
        <x:v>0.07150525755647323</x:v>
      </x:c>
      <x:c r="H60" s="36" t="n">
        <x:v>0.05128205128205128</x:v>
      </x:c>
      <x:c r="I60" s="36" t="n">
        <x:v>0.038461538461538464</x:v>
      </x:c>
      <x:c r="K60" t="str">
        <x:f>A60&amp;" "&amp;TEXT(B60,"hh:mm")</x:f>
        <x:v>inbound 16:30</x:v>
      </x:c>
      <x:c r="L60" s="36" t="n">
        <x:f>G60</x:f>
        <x:v>0.07150525755647323</x:v>
      </x:c>
      <x:c r="M60" s="36" t="n">
        <x:f>H60</x:f>
        <x:v>0.05128205128205128</x:v>
      </x:c>
      <x:c r="N60" s="36" t="n">
        <x:f>I60</x:f>
        <x:v>0.038461538461538464</x:v>
      </x:c>
    </x:row>
    <x:row r="61">
      <x:c r="A61" t="str">
        <x:v>inbound</x:v>
      </x:c>
      <x:c r="B61" s="27" t="n">
        <x:v>0.7083333333333334</x:v>
      </x:c>
      <x:c r="C61" s="27" t="n">
        <x:v>0.7291666666666666</x:v>
      </x:c>
      <x:c r="D61" s="35" t="n">
        <x:v>99.76470588235294</x:v>
      </x:c>
      <x:c r="E61" t="n">
        <x:v>4</x:v>
      </x:c>
      <x:c r="F61" t="n">
        <x:v>3</x:v>
      </x:c>
      <x:c r="G61" s="36" t="n">
        <x:v>0.04750005445826474</x:v>
      </x:c>
      <x:c r="H61" s="36" t="n">
        <x:v>0.05128205128205128</x:v>
      </x:c>
      <x:c r="I61" s="36" t="n">
        <x:v>0.038461538461538464</x:v>
      </x:c>
      <x:c r="K61" t="str">
        <x:f>A61&amp;" "&amp;TEXT(B61,"hh:mm")</x:f>
        <x:v>inbound 17:00</x:v>
      </x:c>
      <x:c r="L61" s="36" t="n">
        <x:f>G61</x:f>
        <x:v>0.04750005445826474</x:v>
      </x:c>
      <x:c r="M61" s="36" t="n">
        <x:f>H61</x:f>
        <x:v>0.05128205128205128</x:v>
      </x:c>
      <x:c r="N61" s="36" t="n">
        <x:f>I61</x:f>
        <x:v>0.038461538461538464</x:v>
      </x:c>
    </x:row>
    <x:row r="62">
      <x:c r="A62" t="str">
        <x:v>inbound</x:v>
      </x:c>
      <x:c r="B62" s="27" t="n">
        <x:v>0.7291666666666666</x:v>
      </x:c>
      <x:c r="C62" s="27" t="n">
        <x:v>0.75</x:v>
      </x:c>
      <x:c r="D62" s="35" t="n">
        <x:v>46.52287581699346</x:v>
      </x:c>
      <x:c r="E62" t="n">
        <x:v>2</x:v>
      </x:c>
      <x:c r="F62" t="n">
        <x:v>2</x:v>
      </x:c>
      <x:c r="G62" s="36" t="n">
        <x:v>0.02215051019614311</x:v>
      </x:c>
      <x:c r="H62" s="36" t="n">
        <x:v>0.02564102564102564</x:v>
      </x:c>
      <x:c r="I62" s="36" t="n">
        <x:v>0.02564102564102564</x:v>
      </x:c>
      <x:c r="K62" t="str">
        <x:f>A62&amp;" "&amp;TEXT(B62,"hh:mm")</x:f>
        <x:v>inbound 17:30</x:v>
      </x:c>
      <x:c r="L62" s="36" t="n">
        <x:f>G62</x:f>
        <x:v>0.02215051019614311</x:v>
      </x:c>
      <x:c r="M62" s="36" t="n">
        <x:f>H62</x:f>
        <x:v>0.02564102564102564</x:v>
      </x:c>
      <x:c r="N62" s="36" t="n">
        <x:f>I62</x:f>
        <x:v>0.02564102564102564</x:v>
      </x:c>
    </x:row>
    <x:row r="63">
      <x:c r="A63" t="str">
        <x:v>inbound</x:v>
      </x:c>
      <x:c r="B63" s="27" t="n">
        <x:v>0.75</x:v>
      </x:c>
      <x:c r="C63" s="27" t="n">
        <x:v>0.7708333333333334</x:v>
      </x:c>
      <x:c r="D63" s="35" t="n">
        <x:v>35.80392156862745</x:v>
      </x:c>
      <x:c r="E63" t="n">
        <x:v>2</x:v>
      </x:c>
      <x:c r="F63" t="n">
        <x:v>2</x:v>
      </x:c>
      <x:c r="G63" s="36" t="n">
        <x:v>0.017046992814620954</x:v>
      </x:c>
      <x:c r="H63" s="36" t="n">
        <x:v>0.02564102564102564</x:v>
      </x:c>
      <x:c r="I63" s="36" t="n">
        <x:v>0.02564102564102564</x:v>
      </x:c>
      <x:c r="K63" t="str">
        <x:f>A63&amp;" "&amp;TEXT(B63,"hh:mm")</x:f>
        <x:v>inbound 18:00</x:v>
      </x:c>
      <x:c r="L63" s="36" t="n">
        <x:f>G63</x:f>
        <x:v>0.017046992814620954</x:v>
      </x:c>
      <x:c r="M63" s="36" t="n">
        <x:f>H63</x:f>
        <x:v>0.02564102564102564</x:v>
      </x:c>
      <x:c r="N63" s="36" t="n">
        <x:f>I63</x:f>
        <x:v>0.02564102564102564</x:v>
      </x:c>
    </x:row>
    <x:row r="64">
      <x:c r="A64" t="str">
        <x:v>inbound</x:v>
      </x:c>
      <x:c r="B64" s="27" t="n">
        <x:v>0.7708333333333334</x:v>
      </x:c>
      <x:c r="C64" s="27" t="n">
        <x:v>0.7916666666666666</x:v>
      </x:c>
      <x:c r="D64" s="35" t="n">
        <x:v>25.18954248366013</x:v>
      </x:c>
      <x:c r="E64" t="n">
        <x:v>2</x:v>
      </x:c>
      <x:c r="F64" t="n">
        <x:v>2</x:v>
      </x:c>
      <x:c r="G64" s="36" t="n">
        <x:v>0.011993265846577065</x:v>
      </x:c>
      <x:c r="H64" s="36" t="n">
        <x:v>0.02564102564102564</x:v>
      </x:c>
      <x:c r="I64" s="36" t="n">
        <x:v>0.02564102564102564</x:v>
      </x:c>
      <x:c r="K64" t="str">
        <x:f>A64&amp;" "&amp;TEXT(B64,"hh:mm")</x:f>
        <x:v>inbound 18:30</x:v>
      </x:c>
      <x:c r="L64" s="36" t="n">
        <x:f>G64</x:f>
        <x:v>0.011993265846577065</x:v>
      </x:c>
      <x:c r="M64" s="36" t="n">
        <x:f>H64</x:f>
        <x:v>0.02564102564102564</x:v>
      </x:c>
      <x:c r="N64" s="36" t="n">
        <x:f>I64</x:f>
        <x:v>0.02564102564102564</x:v>
      </x:c>
    </x:row>
    <x:row r="65">
      <x:c r="A65" t="str">
        <x:v>inbound</x:v>
      </x:c>
      <x:c r="B65" s="27" t="n">
        <x:v>0.7916666666666666</x:v>
      </x:c>
      <x:c r="C65" s="27" t="n">
        <x:v>0.8125</x:v>
      </x:c>
      <x:c r="D65" s="35" t="n">
        <x:v>22.0718954248366</x:v>
      </x:c>
      <x:c r="E65" t="n">
        <x:v>2</x:v>
      </x:c>
      <x:c r="F65" t="n">
        <x:v>2</x:v>
      </x:c>
      <x:c r="G65" s="36" t="n">
        <x:v>0.01050888914475629</x:v>
      </x:c>
      <x:c r="H65" s="36" t="n">
        <x:v>0.02564102564102564</x:v>
      </x:c>
      <x:c r="I65" s="36" t="n">
        <x:v>0.02564102564102564</x:v>
      </x:c>
      <x:c r="K65" t="str">
        <x:f>A65&amp;" "&amp;TEXT(B65,"hh:mm")</x:f>
        <x:v>inbound 19:00</x:v>
      </x:c>
      <x:c r="L65" s="36" t="n">
        <x:f>G65</x:f>
        <x:v>0.01050888914475629</x:v>
      </x:c>
      <x:c r="M65" s="36" t="n">
        <x:f>H65</x:f>
        <x:v>0.02564102564102564</x:v>
      </x:c>
      <x:c r="N65" s="36" t="n">
        <x:f>I65</x:f>
        <x:v>0.02564102564102564</x:v>
      </x:c>
    </x:row>
    <x:row r="66">
      <x:c r="A66" t="str">
        <x:v>inbound</x:v>
      </x:c>
      <x:c r="B66" s="27" t="n">
        <x:v>0.8125</x:v>
      </x:c>
      <x:c r="C66" s="27" t="n">
        <x:v>0.8333333333333334</x:v>
      </x:c>
      <x:c r="D66" s="35" t="n">
        <x:v>17.00653594771242</x:v>
      </x:c>
      <x:c r="E66" t="n">
        <x:v>2</x:v>
      </x:c>
      <x:c r="F66" t="n">
        <x:v>2</x:v>
      </x:c>
      <x:c r="G66" s="36" t="n">
        <x:v>0.008097165991902834</x:v>
      </x:c>
      <x:c r="H66" s="36" t="n">
        <x:v>0.02564102564102564</x:v>
      </x:c>
      <x:c r="I66" s="36" t="n">
        <x:v>0.02564102564102564</x:v>
      </x:c>
      <x:c r="K66" t="str">
        <x:f>A66&amp;" "&amp;TEXT(B66,"hh:mm")</x:f>
        <x:v>inbound 19:30</x:v>
      </x:c>
      <x:c r="L66" s="36" t="n">
        <x:f>G66</x:f>
        <x:v>0.008097165991902834</x:v>
      </x:c>
      <x:c r="M66" s="36" t="n">
        <x:f>H66</x:f>
        <x:v>0.02564102564102564</x:v>
      </x:c>
      <x:c r="N66" s="36" t="n">
        <x:f>I66</x:f>
        <x:v>0.02564102564102564</x:v>
      </x:c>
    </x:row>
    <x:row r="67">
      <x:c r="A67" t="str">
        <x:v>inbound</x:v>
      </x:c>
      <x:c r="B67" s="27" t="n">
        <x:v>0.8333333333333334</x:v>
      </x:c>
      <x:c r="C67" s="27" t="n">
        <x:v>0.8541666666666666</x:v>
      </x:c>
      <x:c r="D67" s="35" t="n">
        <x:v>14.392156862745098</x:v>
      </x:c>
      <x:c r="E67" t="n">
        <x:v>2</x:v>
      </x:c>
      <x:c r="F67" t="n">
        <x:v>2</x:v>
      </x:c>
      <x:c r="G67" s="36" t="n">
        <x:v>0.006852405654946211</x:v>
      </x:c>
      <x:c r="H67" s="36" t="n">
        <x:v>0.02564102564102564</x:v>
      </x:c>
      <x:c r="I67" s="36" t="n">
        <x:v>0.02564102564102564</x:v>
      </x:c>
      <x:c r="K67" t="str">
        <x:f>A67&amp;" "&amp;TEXT(B67,"hh:mm")</x:f>
        <x:v>inbound 20:00</x:v>
      </x:c>
      <x:c r="L67" s="36" t="n">
        <x:f>G67</x:f>
        <x:v>0.006852405654946211</x:v>
      </x:c>
      <x:c r="M67" s="36" t="n">
        <x:f>H67</x:f>
        <x:v>0.02564102564102564</x:v>
      </x:c>
      <x:c r="N67" s="36" t="n">
        <x:f>I67</x:f>
        <x:v>0.02564102564102564</x:v>
      </x:c>
    </x:row>
    <x:row r="68">
      <x:c r="A68" t="str">
        <x:v>inbound</x:v>
      </x:c>
      <x:c r="B68" s="27" t="n">
        <x:v>0.8541666666666666</x:v>
      </x:c>
      <x:c r="C68" s="27" t="n">
        <x:v>0.875</x:v>
      </x:c>
      <x:c r="D68" s="35" t="n">
        <x:v>9.450980392156863</x:v>
      </x:c>
      <x:c r="E68" t="n">
        <x:v>2</x:v>
      </x:c>
      <x:c r="F68" t="n">
        <x:v>2</x:v>
      </x:c>
      <x:c r="G68" s="36" t="n">
        <x:v>0.0044998086180981925</x:v>
      </x:c>
      <x:c r="H68" s="36" t="n">
        <x:v>0.02564102564102564</x:v>
      </x:c>
      <x:c r="I68" s="36" t="n">
        <x:v>0.02564102564102564</x:v>
      </x:c>
      <x:c r="K68" t="str">
        <x:f>A68&amp;" "&amp;TEXT(B68,"hh:mm")</x:f>
        <x:v>inbound 20:30</x:v>
      </x:c>
      <x:c r="L68" s="36" t="n">
        <x:f>G68</x:f>
        <x:v>0.0044998086180981925</x:v>
      </x:c>
      <x:c r="M68" s="36" t="n">
        <x:f>H68</x:f>
        <x:v>0.02564102564102564</x:v>
      </x:c>
      <x:c r="N68" s="36" t="n">
        <x:f>I68</x:f>
        <x:v>0.02564102564102564</x:v>
      </x:c>
    </x:row>
    <x:row r="69">
      <x:c r="A69" t="str">
        <x:v>inbound</x:v>
      </x:c>
      <x:c r="B69" s="27" t="n">
        <x:v>0.875</x:v>
      </x:c>
      <x:c r="C69" s="27" t="n">
        <x:v>0.8958333333333334</x:v>
      </x:c>
      <x:c r="D69" s="35" t="n">
        <x:v>2.810457516339869</x:v>
      </x:c>
      <x:c r="E69" t="n">
        <x:v>1</x:v>
      </x:c>
      <x:c r="F69" t="n">
        <x:v>1</x:v>
      </x:c>
      <x:c r="G69" s="36" t="n">
        <x:v>0.00133811736222837</x:v>
      </x:c>
      <x:c r="H69" s="36" t="n">
        <x:v>0.01282051282051282</x:v>
      </x:c>
      <x:c r="I69" s="36" t="n">
        <x:v>0.01282051282051282</x:v>
      </x:c>
      <x:c r="K69" t="str">
        <x:f>A69&amp;" "&amp;TEXT(B69,"hh:mm")</x:f>
        <x:v>inbound 21:00</x:v>
      </x:c>
      <x:c r="L69" s="36" t="n">
        <x:f>G69</x:f>
        <x:v>0.00133811736222837</x:v>
      </x:c>
      <x:c r="M69" s="36" t="n">
        <x:f>H69</x:f>
        <x:v>0.01282051282051282</x:v>
      </x:c>
      <x:c r="N69" s="36" t="n">
        <x:f>I69</x:f>
        <x:v>0.01282051282051282</x:v>
      </x:c>
    </x:row>
    <x:row r="71">
      <x:c r="K71" s="38" t="str">
        <x:v>Service shares are compared on one normalized scale; service is not expected to follow observed demand 1:1.</x:v>
      </x:c>
      <x:c r="L71" s="38"/>
      <x:c r="M71" s="38"/>
      <x:c r="N71" s="38"/>
      <x:c r="O71" s="38"/>
      <x:c r="P71" s="38"/>
      <x:c r="Q71" s="38"/>
      <x:c r="R71" s="38"/>
      <x:c r="S71" s="38"/>
      <x:c r="T71" s="38"/>
    </x:row>
    <x:row r="72"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</x:row>
  </x:sheetData>
  <x:mergeCells>
    <x:mergeCell ref="K71:T72"/>
  </x:mergeCells>
  <x:pageMargins left="0.7" right="0.7" top="0.75" bottom="0.75" header="0.3" footer="0.3"/>
  <x:drawing xmlns:r="http://schemas.openxmlformats.org/officeDocument/2006/relationships" r:id="Rc8a3230f1afe483c"/>
  <x:tableParts count="1">
    <x:tablePart xmlns:r="http://schemas.openxmlformats.org/officeDocument/2006/relationships" r:id="Rbb9e50a2c03d41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47" hidden="0" customWidth="1"/>
  </x:cols>
  <x:sheetData>
    <x:row r="1">
      <x:c r="A1" s="24" t="str">
        <x:v>Metric</x:v>
      </x:c>
      <x:c r="B1" s="25" t="str">
        <x:v>Scenario B/current</x:v>
      </x:c>
      <x:c r="C1" s="25" t="str">
        <x:v>Final</x:v>
      </x:c>
      <x:c r="D1" s="26" t="str">
        <x:v>Unit / interpretation</x:v>
      </x:c>
    </x:row>
    <x:row r="2">
      <x:c r="A2" t="str">
        <x:v>Total trips</x:v>
      </x:c>
      <x:c r="B2" t="n">
        <x:v>156</x:v>
      </x:c>
      <x:c r="C2" t="n">
        <x:v>156</x:v>
      </x:c>
      <x:c r="D2" t="str">
        <x:v>trips/day</x:v>
      </x:c>
    </x:row>
    <x:row r="3">
      <x:c r="A3" t="str">
        <x:v>First departure outbound</x:v>
      </x:c>
      <x:c r="B3" s="27" t="n">
        <x:v>0.2048611111111111</x:v>
      </x:c>
      <x:c r="C3" s="27" t="n">
        <x:v>0.2048611111111111</x:v>
      </x:c>
      <x:c r="D3" t="str">
        <x:v>HH:MM</x:v>
      </x:c>
    </x:row>
    <x:row r="4">
      <x:c r="A4" t="str">
        <x:v>Last departure outbound</x:v>
      </x:c>
      <x:c r="B4" s="27" t="n">
        <x:v>0.875</x:v>
      </x:c>
      <x:c r="C4" s="27" t="n">
        <x:v>0.875</x:v>
      </x:c>
      <x:c r="D4" t="str">
        <x:v>HH:MM</x:v>
      </x:c>
    </x:row>
    <x:row r="5">
      <x:c r="A5" t="str">
        <x:v>First departure inbound</x:v>
      </x:c>
      <x:c r="B5" s="27" t="n">
        <x:v>0.2048611111111111</x:v>
      </x:c>
      <x:c r="C5" s="27" t="n">
        <x:v>0.2048611111111111</x:v>
      </x:c>
      <x:c r="D5" t="str">
        <x:v>HH:MM</x:v>
      </x:c>
    </x:row>
    <x:row r="6">
      <x:c r="A6" t="str">
        <x:v>Last departure inbound</x:v>
      </x:c>
      <x:c r="B6" s="27" t="n">
        <x:v>0.875</x:v>
      </x:c>
      <x:c r="C6" s="27" t="n">
        <x:v>0.875</x:v>
      </x:c>
      <x:c r="D6" t="str">
        <x:v>HH:MM</x:v>
      </x:c>
    </x:row>
    <x:row r="7">
      <x:c r="A7" t="str">
        <x:v>Fleet requirement</x:v>
      </x:c>
      <x:c r="B7" t="n">
        <x:v>20</x:v>
      </x:c>
      <x:c r="C7" t="n">
        <x:v>19</x:v>
      </x:c>
      <x:c r="D7" t="str">
        <x:v>vehicles at official authority</x:v>
      </x:c>
    </x:row>
    <x:row r="8">
      <x:c r="A8" t="str">
        <x:v>Expected passenger wait</x:v>
      </x:c>
      <x:c r="B8" s="39" t="n">
        <x:v>6.165625105285925</x:v>
      </x:c>
      <x:c r="C8" s="39" t="n">
        <x:v>6.043783393326659</x:v>
      </x:c>
      <x:c r="D8" t="str">
        <x:v>minutes; same frozen demand integration</x:v>
      </x:c>
    </x:row>
    <x:row r="9">
      <x:c r="A9" t="str">
        <x:v>Demand mismatch</x:v>
      </x:c>
      <x:c r="B9" s="39" t="n">
        <x:v>0.006781113310928661</x:v>
      </x:c>
      <x:c r="C9" s="39" t="n">
        <x:v>0.007197180311487441</x:v>
      </x:c>
      <x:c r="D9" t="str">
        <x:v>sum of directional squared share errors</x:v>
      </x:c>
    </x:row>
    <x:row r="10">
      <x:c r="A10" t="str">
        <x:v>ServiceRegime count</x:v>
      </x:c>
      <x:c r="B10" t="n">
        <x:v>20</x:v>
      </x:c>
      <x:c r="C10" t="n">
        <x:v>15</x:v>
      </x:c>
      <x:c r="D10" t="str">
        <x:v>uniform exact-headway runs</x:v>
      </x:c>
    </x:row>
    <x:row r="11">
      <x:c r="A11" t="str">
        <x:v>Minimum headway</x:v>
      </x:c>
      <x:c r="B11" t="n">
        <x:v>8</x:v>
      </x:c>
      <x:c r="C11" t="n">
        <x:v>8</x:v>
      </x:c>
      <x:c r="D11" t="str">
        <x:v>minutes</x:v>
      </x:c>
    </x:row>
    <x:row r="12">
      <x:c r="A12" t="str">
        <x:v>Maximum headway</x:v>
      </x:c>
      <x:c r="B12" t="n">
        <x:v>15</x:v>
      </x:c>
      <x:c r="C12" t="n">
        <x:v>16</x:v>
      </x:c>
      <x:c r="D12" t="str">
        <x:v>minutes</x:v>
      </x:c>
    </x:row>
  </x:sheetData>
  <x:pageMargins left="0.7" right="0.7" top="0.75" bottom="0.75" header="0.3" footer="0.3"/>
  <x:tableParts count="1">
    <x:tablePart xmlns:r="http://schemas.openxmlformats.org/officeDocument/2006/relationships" r:id="R89690fefe84b46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3" hidden="0" customWidth="1"/>
    <x:col min="5" max="5" width="13" hidden="0" customWidth="1"/>
    <x:col min="6" max="6" width="18" hidden="0" customWidth="1"/>
    <x:col min="7" max="7" width="29" hidden="0" customWidth="1"/>
  </x:cols>
  <x:sheetData>
    <x:row r="1">
      <x:c r="A1" s="24" t="str">
        <x:v>Vehicle</x:v>
      </x:c>
      <x:c r="B1" s="25" t="str">
        <x:v>Trip</x:v>
      </x:c>
      <x:c r="C1" s="25" t="str">
        <x:v>Direction</x:v>
      </x:c>
      <x:c r="D1" s="25" t="str">
        <x:v>Departure</x:v>
      </x:c>
      <x:c r="E1" s="25" t="str">
        <x:v>Arrival</x:v>
      </x:c>
      <x:c r="F1" s="25" t="str">
        <x:v>Next_trip</x:v>
      </x:c>
      <x:c r="G1" s="26" t="str">
        <x:v>Connection_layover_minutes</x:v>
      </x:c>
    </x:row>
    <x:row r="2">
      <x:c r="A2" t="str">
        <x:v>V01</x:v>
      </x:c>
      <x:c r="B2" t="str">
        <x:v>INBOUND-001</x:v>
      </x:c>
      <x:c r="C2" t="str">
        <x:v>inbound</x:v>
      </x:c>
      <x:c r="D2" s="27" t="n">
        <x:v>0.2048611111111111</x:v>
      </x:c>
      <x:c r="E2" s="27" t="n">
        <x:v>0.2534722222222222</x:v>
      </x:c>
      <x:c r="F2" t="str">
        <x:v>OUTBOUND-007</x:v>
      </x:c>
      <x:c r="G2" t="n">
        <x:v>14</x:v>
      </x:c>
    </x:row>
    <x:row r="3">
      <x:c r="A3" t="str">
        <x:v>V01</x:v>
      </x:c>
      <x:c r="B3" t="str">
        <x:v>OUTBOUND-007</x:v>
      </x:c>
      <x:c r="C3" t="str">
        <x:v>outbound</x:v>
      </x:c>
      <x:c r="D3" s="27" t="n">
        <x:v>0.26319444444444445</x:v>
      </x:c>
      <x:c r="E3" s="27" t="n">
        <x:v>0.31180555555555556</x:v>
      </x:c>
      <x:c r="F3" t="str">
        <x:v>INBOUND-016</x:v>
      </x:c>
      <x:c r="G3" t="n">
        <x:v>9</x:v>
      </x:c>
    </x:row>
    <x:row r="4">
      <x:c r="A4" t="str">
        <x:v>V01</x:v>
      </x:c>
      <x:c r="B4" t="str">
        <x:v>INBOUND-016</x:v>
      </x:c>
      <x:c r="C4" t="str">
        <x:v>inbound</x:v>
      </x:c>
      <x:c r="D4" s="27" t="n">
        <x:v>0.31805555555555554</x:v>
      </x:c>
      <x:c r="E4" s="27" t="n">
        <x:v>0.36666666666666664</x:v>
      </x:c>
      <x:c r="F4" t="str">
        <x:v>OUTBOUND-024</x:v>
      </x:c>
      <x:c r="G4" t="n">
        <x:v>57</x:v>
      </x:c>
    </x:row>
    <x:row r="5">
      <x:c r="A5" t="str">
        <x:v>V01</x:v>
      </x:c>
      <x:c r="B5" t="str">
        <x:v>OUTBOUND-024</x:v>
      </x:c>
      <x:c r="C5" t="str">
        <x:v>outbound</x:v>
      </x:c>
      <x:c r="D5" s="27" t="n">
        <x:v>0.40625</x:v>
      </x:c>
      <x:c r="E5" s="27" t="n">
        <x:v>0.4548611111111111</x:v>
      </x:c>
      <x:c r="F5" t="str">
        <x:v>INBOUND-033</x:v>
      </x:c>
      <x:c r="G5" t="n">
        <x:v>21</x:v>
      </x:c>
    </x:row>
    <x:row r="6">
      <x:c r="A6" t="str">
        <x:v>V01</x:v>
      </x:c>
      <x:c r="B6" t="str">
        <x:v>INBOUND-033</x:v>
      </x:c>
      <x:c r="C6" t="str">
        <x:v>inbound</x:v>
      </x:c>
      <x:c r="D6" s="27" t="n">
        <x:v>0.46944444444444444</x:v>
      </x:c>
      <x:c r="E6" s="27" t="n">
        <x:v>0.5180555555555556</x:v>
      </x:c>
      <x:c r="F6" t="str">
        <x:v>OUTBOUND-041</x:v>
      </x:c>
      <x:c r="G6" t="n">
        <x:v>41</x:v>
      </x:c>
    </x:row>
    <x:row r="7">
      <x:c r="A7" t="str">
        <x:v>V01</x:v>
      </x:c>
      <x:c r="B7" t="str">
        <x:v>OUTBOUND-041</x:v>
      </x:c>
      <x:c r="C7" t="str">
        <x:v>outbound</x:v>
      </x:c>
      <x:c r="D7" s="27" t="n">
        <x:v>0.5465277777777777</x:v>
      </x:c>
      <x:c r="E7" s="27" t="n">
        <x:v>0.5951388888888889</x:v>
      </x:c>
      <x:c r="F7" t="str">
        <x:v>INBOUND-050</x:v>
      </x:c>
      <x:c r="G7" t="n">
        <x:v>49</x:v>
      </x:c>
    </x:row>
    <x:row r="8">
      <x:c r="A8" t="str">
        <x:v>V01</x:v>
      </x:c>
      <x:c r="B8" t="str">
        <x:v>INBOUND-050</x:v>
      </x:c>
      <x:c r="C8" t="str">
        <x:v>inbound</x:v>
      </x:c>
      <x:c r="D8" s="27" t="n">
        <x:v>0.6291666666666667</x:v>
      </x:c>
      <x:c r="E8" s="27" t="n">
        <x:v>0.6777777777777778</x:v>
      </x:c>
      <x:c r="F8" t="str">
        <x:v>OUTBOUND-058</x:v>
      </x:c>
      <x:c r="G8" t="n">
        <x:v>31</x:v>
      </x:c>
    </x:row>
    <x:row r="9">
      <x:c r="A9" t="str">
        <x:v>V01</x:v>
      </x:c>
      <x:c r="B9" t="str">
        <x:v>OUTBOUND-058</x:v>
      </x:c>
      <x:c r="C9" t="str">
        <x:v>outbound</x:v>
      </x:c>
      <x:c r="D9" s="27" t="n">
        <x:v>0.6993055555555555</x:v>
      </x:c>
      <x:c r="E9" s="27" t="n">
        <x:v>0.7479166666666667</x:v>
      </x:c>
      <x:c r="F9" t="str">
        <x:v>INBOUND-069</x:v>
      </x:c>
      <x:c r="G9" t="n">
        <x:v>48</x:v>
      </x:c>
    </x:row>
    <x:row r="10">
      <x:c r="A10" t="str">
        <x:v>V01</x:v>
      </x:c>
      <x:c r="B10" t="str">
        <x:v>INBOUND-069</x:v>
      </x:c>
      <x:c r="C10" t="str">
        <x:v>inbound</x:v>
      </x:c>
      <x:c r="D10" s="27" t="n">
        <x:v>0.78125</x:v>
      </x:c>
      <x:c r="E10" s="27" t="n">
        <x:v>0.8298611111111112</x:v>
      </x:c>
      <x:c r="F10" t="str">
        <x:v>OUTBOUND-077</x:v>
      </x:c>
      <x:c r="G10" t="n">
        <x:v>50</x:v>
      </x:c>
    </x:row>
    <x:row r="11">
      <x:c r="A11" t="str">
        <x:v>V01</x:v>
      </x:c>
      <x:c r="B11" t="str">
        <x:v>OUTBOUND-077</x:v>
      </x:c>
      <x:c r="C11" t="str">
        <x:v>outbound</x:v>
      </x:c>
      <x:c r="D11" s="27" t="n">
        <x:v>0.8645833333333334</x:v>
      </x:c>
      <x:c r="E11" s="27" t="n">
        <x:v>0.9131944444444444</x:v>
      </x:c>
      <x:c r="F11"/>
      <x:c r="G11"/>
    </x:row>
    <x:row r="12">
      <x:c r="A12" t="str">
        <x:v>V02</x:v>
      </x:c>
      <x:c r="B12" t="str">
        <x:v>OUTBOUND-001</x:v>
      </x:c>
      <x:c r="C12" t="str">
        <x:v>outbound</x:v>
      </x:c>
      <x:c r="D12" s="27" t="n">
        <x:v>0.2048611111111111</x:v>
      </x:c>
      <x:c r="E12" s="27" t="n">
        <x:v>0.2534722222222222</x:v>
      </x:c>
      <x:c r="F12" t="str">
        <x:v>INBOUND-007</x:v>
      </x:c>
      <x:c r="G12" t="n">
        <x:v>12</x:v>
      </x:c>
    </x:row>
    <x:row r="13">
      <x:c r="A13" t="str">
        <x:v>V02</x:v>
      </x:c>
      <x:c r="B13" t="str">
        <x:v>INBOUND-007</x:v>
      </x:c>
      <x:c r="C13" t="str">
        <x:v>inbound</x:v>
      </x:c>
      <x:c r="D13" s="27" t="n">
        <x:v>0.26180555555555557</x:v>
      </x:c>
      <x:c r="E13" s="27" t="n">
        <x:v>0.3104166666666667</x:v>
      </x:c>
      <x:c r="F13" t="str">
        <x:v>OUTBOUND-015</x:v>
      </x:c>
      <x:c r="G13" t="n">
        <x:v>12</x:v>
      </x:c>
    </x:row>
    <x:row r="14">
      <x:c r="A14" t="str">
        <x:v>V02</x:v>
      </x:c>
      <x:c r="B14" t="str">
        <x:v>OUTBOUND-015</x:v>
      </x:c>
      <x:c r="C14" t="str">
        <x:v>outbound</x:v>
      </x:c>
      <x:c r="D14" s="27" t="n">
        <x:v>0.31875</x:v>
      </x:c>
      <x:c r="E14" s="27" t="n">
        <x:v>0.36736111111111114</x:v>
      </x:c>
      <x:c r="F14" t="str">
        <x:v>INBOUND-024</x:v>
      </x:c>
      <x:c r="G14" t="n">
        <x:v>41</x:v>
      </x:c>
    </x:row>
    <x:row r="15">
      <x:c r="A15" t="str">
        <x:v>V02</x:v>
      </x:c>
      <x:c r="B15" t="str">
        <x:v>INBOUND-024</x:v>
      </x:c>
      <x:c r="C15" t="str">
        <x:v>inbound</x:v>
      </x:c>
      <x:c r="D15" s="27" t="n">
        <x:v>0.3958333333333333</x:v>
      </x:c>
      <x:c r="E15" s="27" t="n">
        <x:v>0.4444444444444444</x:v>
      </x:c>
      <x:c r="F15" t="str">
        <x:v>OUTBOUND-032</x:v>
      </x:c>
      <x:c r="G15" t="n">
        <x:v>37</x:v>
      </x:c>
    </x:row>
    <x:row r="16">
      <x:c r="A16" t="str">
        <x:v>V02</x:v>
      </x:c>
      <x:c r="B16" t="str">
        <x:v>OUTBOUND-032</x:v>
      </x:c>
      <x:c r="C16" t="str">
        <x:v>outbound</x:v>
      </x:c>
      <x:c r="D16" s="27" t="n">
        <x:v>0.4701388888888889</x:v>
      </x:c>
      <x:c r="E16" s="27" t="n">
        <x:v>0.51875</x:v>
      </x:c>
      <x:c r="F16" t="str">
        <x:v>INBOUND-041</x:v>
      </x:c>
      <x:c r="G16" t="n">
        <x:v>24</x:v>
      </x:c>
    </x:row>
    <x:row r="17">
      <x:c r="A17" t="str">
        <x:v>V02</x:v>
      </x:c>
      <x:c r="B17" t="str">
        <x:v>INBOUND-041</x:v>
      </x:c>
      <x:c r="C17" t="str">
        <x:v>inbound</x:v>
      </x:c>
      <x:c r="D17" s="27" t="n">
        <x:v>0.5354166666666667</x:v>
      </x:c>
      <x:c r="E17" s="27" t="n">
        <x:v>0.5840277777777778</x:v>
      </x:c>
      <x:c r="F17" t="str">
        <x:v>OUTBOUND-049</x:v>
      </x:c>
      <x:c r="G17" t="n">
        <x:v>66</x:v>
      </x:c>
    </x:row>
    <x:row r="18">
      <x:c r="A18" t="str">
        <x:v>V02</x:v>
      </x:c>
      <x:c r="B18" t="str">
        <x:v>OUTBOUND-049</x:v>
      </x:c>
      <x:c r="C18" t="str">
        <x:v>outbound</x:v>
      </x:c>
      <x:c r="D18" s="27" t="n">
        <x:v>0.6298611111111111</x:v>
      </x:c>
      <x:c r="E18" s="27" t="n">
        <x:v>0.6784722222222223</x:v>
      </x:c>
      <x:c r="F18" t="str">
        <x:v>INBOUND-058</x:v>
      </x:c>
      <x:c r="G18" t="n">
        <x:v>19</x:v>
      </x:c>
    </x:row>
    <x:row r="19">
      <x:c r="A19" t="str">
        <x:v>V02</x:v>
      </x:c>
      <x:c r="B19" t="str">
        <x:v>INBOUND-058</x:v>
      </x:c>
      <x:c r="C19" t="str">
        <x:v>inbound</x:v>
      </x:c>
      <x:c r="D19" s="27" t="n">
        <x:v>0.6916666666666667</x:v>
      </x:c>
      <x:c r="E19" s="27" t="n">
        <x:v>0.7402777777777778</x:v>
      </x:c>
      <x:c r="F19" t="str">
        <x:v>OUTBOUND-066</x:v>
      </x:c>
      <x:c r="G19" t="n">
        <x:v>17</x:v>
      </x:c>
    </x:row>
    <x:row r="20">
      <x:c r="A20" t="str">
        <x:v>V02</x:v>
      </x:c>
      <x:c r="B20" t="str">
        <x:v>OUTBOUND-066</x:v>
      </x:c>
      <x:c r="C20" t="str">
        <x:v>outbound</x:v>
      </x:c>
      <x:c r="D20" s="27" t="n">
        <x:v>0.7520833333333333</x:v>
      </x:c>
      <x:c r="E20" s="27" t="n">
        <x:v>0.8006944444444445</x:v>
      </x:c>
      <x:c r="F20" t="str">
        <x:v>INBOUND-077</x:v>
      </x:c>
      <x:c r="G20" t="n">
        <x:v>92</x:v>
      </x:c>
    </x:row>
    <x:row r="21">
      <x:c r="A21" t="str">
        <x:v>V02</x:v>
      </x:c>
      <x:c r="B21" t="str">
        <x:v>INBOUND-077</x:v>
      </x:c>
      <x:c r="C21" t="str">
        <x:v>inbound</x:v>
      </x:c>
      <x:c r="D21" s="27" t="n">
        <x:v>0.8645833333333334</x:v>
      </x:c>
      <x:c r="E21" s="27" t="n">
        <x:v>0.9131944444444444</x:v>
      </x:c>
      <x:c r="F21"/>
      <x:c r="G21"/>
    </x:row>
    <x:row r="22">
      <x:c r="A22" t="str">
        <x:v>V03</x:v>
      </x:c>
      <x:c r="B22" t="str">
        <x:v>INBOUND-002</x:v>
      </x:c>
      <x:c r="C22" t="str">
        <x:v>inbound</x:v>
      </x:c>
      <x:c r="D22" s="27" t="n">
        <x:v>0.21597222222222223</x:v>
      </x:c>
      <x:c r="E22" s="27" t="n">
        <x:v>0.26458333333333334</x:v>
      </x:c>
      <x:c r="F22" t="str">
        <x:v>OUTBOUND-008</x:v>
      </x:c>
      <x:c r="G22" t="n">
        <x:v>8</x:v>
      </x:c>
    </x:row>
    <x:row r="23">
      <x:c r="A23" t="str">
        <x:v>V03</x:v>
      </x:c>
      <x:c r="B23" t="str">
        <x:v>OUTBOUND-008</x:v>
      </x:c>
      <x:c r="C23" t="str">
        <x:v>outbound</x:v>
      </x:c>
      <x:c r="D23" s="27" t="n">
        <x:v>0.2701388888888889</x:v>
      </x:c>
      <x:c r="E23" s="27" t="n">
        <x:v>0.31875</x:v>
      </x:c>
      <x:c r="F23" t="str">
        <x:v>INBOUND-017</x:v>
      </x:c>
      <x:c r="G23" t="n">
        <x:v>13</x:v>
      </x:c>
    </x:row>
    <x:row r="24">
      <x:c r="A24" t="str">
        <x:v>V03</x:v>
      </x:c>
      <x:c r="B24" t="str">
        <x:v>INBOUND-017</x:v>
      </x:c>
      <x:c r="C24" t="str">
        <x:v>inbound</x:v>
      </x:c>
      <x:c r="D24" s="27" t="n">
        <x:v>0.3277777777777778</x:v>
      </x:c>
      <x:c r="E24" s="27" t="n">
        <x:v>0.3763888888888889</x:v>
      </x:c>
      <x:c r="F24" t="str">
        <x:v>OUTBOUND-025</x:v>
      </x:c>
      <x:c r="G24" t="n">
        <x:v>57</x:v>
      </x:c>
    </x:row>
    <x:row r="25">
      <x:c r="A25" t="str">
        <x:v>V03</x:v>
      </x:c>
      <x:c r="B25" t="str">
        <x:v>OUTBOUND-025</x:v>
      </x:c>
      <x:c r="C25" t="str">
        <x:v>outbound</x:v>
      </x:c>
      <x:c r="D25" s="27" t="n">
        <x:v>0.41597222222222224</x:v>
      </x:c>
      <x:c r="E25" s="27" t="n">
        <x:v>0.46458333333333335</x:v>
      </x:c>
      <x:c r="F25" t="str">
        <x:v>INBOUND-034</x:v>
      </x:c>
      <x:c r="G25" t="n">
        <x:v>17</x:v>
      </x:c>
    </x:row>
    <x:row r="26">
      <x:c r="A26" t="str">
        <x:v>V03</x:v>
      </x:c>
      <x:c r="B26" t="str">
        <x:v>INBOUND-034</x:v>
      </x:c>
      <x:c r="C26" t="str">
        <x:v>inbound</x:v>
      </x:c>
      <x:c r="D26" s="27" t="n">
        <x:v>0.47638888888888886</x:v>
      </x:c>
      <x:c r="E26" s="27" t="n">
        <x:v>0.525</x:v>
      </x:c>
      <x:c r="F26" t="str">
        <x:v>OUTBOUND-042</x:v>
      </x:c>
      <x:c r="G26" t="n">
        <x:v>46</x:v>
      </x:c>
    </x:row>
    <x:row r="27">
      <x:c r="A27" t="str">
        <x:v>V03</x:v>
      </x:c>
      <x:c r="B27" t="str">
        <x:v>OUTBOUND-042</x:v>
      </x:c>
      <x:c r="C27" t="str">
        <x:v>outbound</x:v>
      </x:c>
      <x:c r="D27" s="27" t="n">
        <x:v>0.5569444444444445</x:v>
      </x:c>
      <x:c r="E27" s="27" t="n">
        <x:v>0.6055555555555555</x:v>
      </x:c>
      <x:c r="F27" t="str">
        <x:v>INBOUND-051</x:v>
      </x:c>
      <x:c r="G27" t="n">
        <x:v>49</x:v>
      </x:c>
    </x:row>
    <x:row r="28">
      <x:c r="A28" t="str">
        <x:v>V03</x:v>
      </x:c>
      <x:c r="B28" t="str">
        <x:v>INBOUND-051</x:v>
      </x:c>
      <x:c r="C28" t="str">
        <x:v>inbound</x:v>
      </x:c>
      <x:c r="D28" s="27" t="n">
        <x:v>0.6395833333333333</x:v>
      </x:c>
      <x:c r="E28" s="27" t="n">
        <x:v>0.6881944444444444</x:v>
      </x:c>
      <x:c r="F28" t="str">
        <x:v>OUTBOUND-059</x:v>
      </x:c>
      <x:c r="G28" t="n">
        <x:v>24</x:v>
      </x:c>
    </x:row>
    <x:row r="29">
      <x:c r="A29" t="str">
        <x:v>V03</x:v>
      </x:c>
      <x:c r="B29" t="str">
        <x:v>OUTBOUND-059</x:v>
      </x:c>
      <x:c r="C29" t="str">
        <x:v>outbound</x:v>
      </x:c>
      <x:c r="D29" s="27" t="n">
        <x:v>0.7048611111111112</x:v>
      </x:c>
      <x:c r="E29" s="27" t="n">
        <x:v>0.7534722222222222</x:v>
      </x:c>
      <x:c r="F29" t="str">
        <x:v>INBOUND-070</x:v>
      </x:c>
      <x:c r="G29" t="n">
        <x:v>55</x:v>
      </x:c>
    </x:row>
    <x:row r="30">
      <x:c r="A30" t="str">
        <x:v>V03</x:v>
      </x:c>
      <x:c r="B30" t="str">
        <x:v>INBOUND-070</x:v>
      </x:c>
      <x:c r="C30" t="str">
        <x:v>inbound</x:v>
      </x:c>
      <x:c r="D30" s="27" t="n">
        <x:v>0.7916666666666666</x:v>
      </x:c>
      <x:c r="E30" s="27" t="n">
        <x:v>0.8402777777777778</x:v>
      </x:c>
      <x:c r="F30" t="str">
        <x:v>OUTBOUND-078</x:v>
      </x:c>
      <x:c r="G30" t="n">
        <x:v>50</x:v>
      </x:c>
    </x:row>
    <x:row r="31">
      <x:c r="A31" t="str">
        <x:v>V03</x:v>
      </x:c>
      <x:c r="B31" t="str">
        <x:v>OUTBOUND-078</x:v>
      </x:c>
      <x:c r="C31" t="str">
        <x:v>outbound</x:v>
      </x:c>
      <x:c r="D31" s="27" t="n">
        <x:v>0.875</x:v>
      </x:c>
      <x:c r="E31" s="27" t="n">
        <x:v>0.9236111111111112</x:v>
      </x:c>
      <x:c r="F31"/>
      <x:c r="G31"/>
    </x:row>
    <x:row r="32">
      <x:c r="A32" t="str">
        <x:v>V04</x:v>
      </x:c>
      <x:c r="B32" t="str">
        <x:v>OUTBOUND-002</x:v>
      </x:c>
      <x:c r="C32" t="str">
        <x:v>outbound</x:v>
      </x:c>
      <x:c r="D32" s="27" t="n">
        <x:v>0.21597222222222223</x:v>
      </x:c>
      <x:c r="E32" s="27" t="n">
        <x:v>0.26458333333333334</x:v>
      </x:c>
      <x:c r="F32" t="str">
        <x:v>INBOUND-008</x:v>
      </x:c>
      <x:c r="G32" t="n">
        <x:v>5</x:v>
      </x:c>
    </x:row>
    <x:row r="33">
      <x:c r="A33" t="str">
        <x:v>V04</x:v>
      </x:c>
      <x:c r="B33" t="str">
        <x:v>INBOUND-008</x:v>
      </x:c>
      <x:c r="C33" t="str">
        <x:v>inbound</x:v>
      </x:c>
      <x:c r="D33" s="27" t="n">
        <x:v>0.26805555555555555</x:v>
      </x:c>
      <x:c r="E33" s="27" t="n">
        <x:v>0.31666666666666665</x:v>
      </x:c>
      <x:c r="F33" t="str">
        <x:v>OUTBOUND-016</x:v>
      </x:c>
      <x:c r="G33" t="n">
        <x:v>17</x:v>
      </x:c>
    </x:row>
    <x:row r="34">
      <x:c r="A34" t="str">
        <x:v>V04</x:v>
      </x:c>
      <x:c r="B34" t="str">
        <x:v>OUTBOUND-016</x:v>
      </x:c>
      <x:c r="C34" t="str">
        <x:v>outbound</x:v>
      </x:c>
      <x:c r="D34" s="27" t="n">
        <x:v>0.3284722222222222</x:v>
      </x:c>
      <x:c r="E34" s="27" t="n">
        <x:v>0.3770833333333333</x:v>
      </x:c>
      <x:c r="F34" t="str">
        <x:v>INBOUND-025</x:v>
      </x:c>
      <x:c r="G34" t="n">
        <x:v>41</x:v>
      </x:c>
    </x:row>
    <x:row r="35">
      <x:c r="A35" t="str">
        <x:v>V04</x:v>
      </x:c>
      <x:c r="B35" t="str">
        <x:v>INBOUND-025</x:v>
      </x:c>
      <x:c r="C35" t="str">
        <x:v>inbound</x:v>
      </x:c>
      <x:c r="D35" s="27" t="n">
        <x:v>0.40555555555555556</x:v>
      </x:c>
      <x:c r="E35" s="27" t="n">
        <x:v>0.45416666666666666</x:v>
      </x:c>
      <x:c r="F35" t="str">
        <x:v>OUTBOUND-033</x:v>
      </x:c>
      <x:c r="G35" t="n">
        <x:v>33</x:v>
      </x:c>
    </x:row>
    <x:row r="36">
      <x:c r="A36" t="str">
        <x:v>V04</x:v>
      </x:c>
      <x:c r="B36" t="str">
        <x:v>OUTBOUND-033</x:v>
      </x:c>
      <x:c r="C36" t="str">
        <x:v>outbound</x:v>
      </x:c>
      <x:c r="D36" s="27" t="n">
        <x:v>0.47708333333333336</x:v>
      </x:c>
      <x:c r="E36" s="27" t="n">
        <x:v>0.5256944444444445</x:v>
      </x:c>
      <x:c r="F36" t="str">
        <x:v>INBOUND-042</x:v>
      </x:c>
      <x:c r="G36" t="n">
        <x:v>29</x:v>
      </x:c>
    </x:row>
    <x:row r="37">
      <x:c r="A37" t="str">
        <x:v>V04</x:v>
      </x:c>
      <x:c r="B37" t="str">
        <x:v>INBOUND-042</x:v>
      </x:c>
      <x:c r="C37" t="str">
        <x:v>inbound</x:v>
      </x:c>
      <x:c r="D37" s="27" t="n">
        <x:v>0.5458333333333333</x:v>
      </x:c>
      <x:c r="E37" s="27" t="n">
        <x:v>0.5944444444444444</x:v>
      </x:c>
      <x:c r="F37" t="str">
        <x:v>OUTBOUND-050</x:v>
      </x:c>
      <x:c r="G37" t="n">
        <x:v>66</x:v>
      </x:c>
    </x:row>
    <x:row r="38">
      <x:c r="A38" t="str">
        <x:v>V04</x:v>
      </x:c>
      <x:c r="B38" t="str">
        <x:v>OUTBOUND-050</x:v>
      </x:c>
      <x:c r="C38" t="str">
        <x:v>outbound</x:v>
      </x:c>
      <x:c r="D38" s="27" t="n">
        <x:v>0.6402777777777777</x:v>
      </x:c>
      <x:c r="E38" s="27" t="n">
        <x:v>0.6888888888888889</x:v>
      </x:c>
      <x:c r="F38" t="str">
        <x:v>INBOUND-059</x:v>
      </x:c>
      <x:c r="G38" t="n">
        <x:v>13</x:v>
      </x:c>
    </x:row>
    <x:row r="39">
      <x:c r="A39" t="str">
        <x:v>V04</x:v>
      </x:c>
      <x:c r="B39" t="str">
        <x:v>INBOUND-059</x:v>
      </x:c>
      <x:c r="C39" t="str">
        <x:v>inbound</x:v>
      </x:c>
      <x:c r="D39" s="27" t="n">
        <x:v>0.6979166666666666</x:v>
      </x:c>
      <x:c r="E39" s="27" t="n">
        <x:v>0.7465277777777778</x:v>
      </x:c>
      <x:c r="F39" t="str">
        <x:v>OUTBOUND-067</x:v>
      </x:c>
      <x:c r="G39" t="n">
        <x:v>22</x:v>
      </x:c>
    </x:row>
    <x:row r="40">
      <x:c r="A40" t="str">
        <x:v>V04</x:v>
      </x:c>
      <x:c r="B40" t="str">
        <x:v>OUTBOUND-067</x:v>
      </x:c>
      <x:c r="C40" t="str">
        <x:v>outbound</x:v>
      </x:c>
      <x:c r="D40" s="27" t="n">
        <x:v>0.7618055555555555</x:v>
      </x:c>
      <x:c r="E40" s="27" t="n">
        <x:v>0.8104166666666667</x:v>
      </x:c>
      <x:c r="F40" t="str">
        <x:v>INBOUND-078</x:v>
      </x:c>
      <x:c r="G40" t="n">
        <x:v>93</x:v>
      </x:c>
    </x:row>
    <x:row r="41">
      <x:c r="A41" t="str">
        <x:v>V04</x:v>
      </x:c>
      <x:c r="B41" t="str">
        <x:v>INBOUND-078</x:v>
      </x:c>
      <x:c r="C41" t="str">
        <x:v>inbound</x:v>
      </x:c>
      <x:c r="D41" s="27" t="n">
        <x:v>0.875</x:v>
      </x:c>
      <x:c r="E41" s="27" t="n">
        <x:v>0.9236111111111112</x:v>
      </x:c>
      <x:c r="F41"/>
      <x:c r="G41"/>
    </x:row>
    <x:row r="42">
      <x:c r="A42" t="str">
        <x:v>V05</x:v>
      </x:c>
      <x:c r="B42" t="str">
        <x:v>INBOUND-003</x:v>
      </x:c>
      <x:c r="C42" t="str">
        <x:v>inbound</x:v>
      </x:c>
      <x:c r="D42" s="27" t="n">
        <x:v>0.22708333333333333</x:v>
      </x:c>
      <x:c r="E42" s="27" t="n">
        <x:v>0.27569444444444446</x:v>
      </x:c>
      <x:c r="F42" t="str">
        <x:v>OUTBOUND-010</x:v>
      </x:c>
      <x:c r="G42" t="n">
        <x:v>12</x:v>
      </x:c>
    </x:row>
    <x:row r="43">
      <x:c r="A43" t="str">
        <x:v>V05</x:v>
      </x:c>
      <x:c r="B43" t="str">
        <x:v>OUTBOUND-010</x:v>
      </x:c>
      <x:c r="C43" t="str">
        <x:v>outbound</x:v>
      </x:c>
      <x:c r="D43" s="27" t="n">
        <x:v>0.28402777777777777</x:v>
      </x:c>
      <x:c r="E43" s="27" t="n">
        <x:v>0.3326388888888889</x:v>
      </x:c>
      <x:c r="F43" t="str">
        <x:v>INBOUND-019</x:v>
      </x:c>
      <x:c r="G43" t="n">
        <x:v>21</x:v>
      </x:c>
    </x:row>
    <x:row r="44">
      <x:c r="A44" t="str">
        <x:v>V05</x:v>
      </x:c>
      <x:c r="B44" t="str">
        <x:v>INBOUND-019</x:v>
      </x:c>
      <x:c r="C44" t="str">
        <x:v>inbound</x:v>
      </x:c>
      <x:c r="D44" s="27" t="n">
        <x:v>0.3472222222222222</x:v>
      </x:c>
      <x:c r="E44" s="27" t="n">
        <x:v>0.3958333333333333</x:v>
      </x:c>
      <x:c r="F44" t="str">
        <x:v>OUTBOUND-027</x:v>
      </x:c>
      <x:c r="G44" t="n">
        <x:v>57</x:v>
      </x:c>
    </x:row>
    <x:row r="45">
      <x:c r="A45" t="str">
        <x:v>V05</x:v>
      </x:c>
      <x:c r="B45" t="str">
        <x:v>OUTBOUND-027</x:v>
      </x:c>
      <x:c r="C45" t="str">
        <x:v>outbound</x:v>
      </x:c>
      <x:c r="D45" s="27" t="n">
        <x:v>0.4354166666666667</x:v>
      </x:c>
      <x:c r="E45" s="27" t="n">
        <x:v>0.4840277777777778</x:v>
      </x:c>
      <x:c r="F45" t="str">
        <x:v>INBOUND-036</x:v>
      </x:c>
      <x:c r="G45" t="n">
        <x:v>9</x:v>
      </x:c>
    </x:row>
    <x:row r="46">
      <x:c r="A46" t="str">
        <x:v>V05</x:v>
      </x:c>
      <x:c r="B46" t="str">
        <x:v>INBOUND-036</x:v>
      </x:c>
      <x:c r="C46" t="str">
        <x:v>inbound</x:v>
      </x:c>
      <x:c r="D46" s="27" t="n">
        <x:v>0.49027777777777776</x:v>
      </x:c>
      <x:c r="E46" s="27" t="n">
        <x:v>0.5388888888888889</x:v>
      </x:c>
      <x:c r="F46" t="str">
        <x:v>OUTBOUND-044</x:v>
      </x:c>
      <x:c r="G46" t="n">
        <x:v>56</x:v>
      </x:c>
    </x:row>
    <x:row r="47">
      <x:c r="A47" t="str">
        <x:v>V05</x:v>
      </x:c>
      <x:c r="B47" t="str">
        <x:v>OUTBOUND-044</x:v>
      </x:c>
      <x:c r="C47" t="str">
        <x:v>outbound</x:v>
      </x:c>
      <x:c r="D47" s="27" t="n">
        <x:v>0.5777777777777777</x:v>
      </x:c>
      <x:c r="E47" s="27" t="n">
        <x:v>0.6263888888888889</x:v>
      </x:c>
      <x:c r="F47" t="str">
        <x:v>INBOUND-053</x:v>
      </x:c>
      <x:c r="G47" t="n">
        <x:v>49</x:v>
      </x:c>
    </x:row>
    <x:row r="48">
      <x:c r="A48" t="str">
        <x:v>V05</x:v>
      </x:c>
      <x:c r="B48" t="str">
        <x:v>INBOUND-053</x:v>
      </x:c>
      <x:c r="C48" t="str">
        <x:v>inbound</x:v>
      </x:c>
      <x:c r="D48" s="27" t="n">
        <x:v>0.6604166666666667</x:v>
      </x:c>
      <x:c r="E48" s="27" t="n">
        <x:v>0.7090277777777778</x:v>
      </x:c>
      <x:c r="F48" t="str">
        <x:v>OUTBOUND-061</x:v>
      </x:c>
      <x:c r="G48" t="n">
        <x:v>10</x:v>
      </x:c>
    </x:row>
    <x:row r="49">
      <x:c r="A49" t="str">
        <x:v>V05</x:v>
      </x:c>
      <x:c r="B49" t="str">
        <x:v>OUTBOUND-061</x:v>
      </x:c>
      <x:c r="C49" t="str">
        <x:v>outbound</x:v>
      </x:c>
      <x:c r="D49" s="27" t="n">
        <x:v>0.7159722222222222</x:v>
      </x:c>
      <x:c r="E49" s="27" t="n">
        <x:v>0.7645833333333333</x:v>
      </x:c>
      <x:c r="F49" t="str">
        <x:v>INBOUND-072</x:v>
      </x:c>
      <x:c r="G49" t="n">
        <x:v>69</x:v>
      </x:c>
    </x:row>
    <x:row r="50">
      <x:c r="A50" t="str">
        <x:v>V05</x:v>
      </x:c>
      <x:c r="B50" t="str">
        <x:v>INBOUND-072</x:v>
      </x:c>
      <x:c r="C50" t="str">
        <x:v>inbound</x:v>
      </x:c>
      <x:c r="D50" s="27" t="n">
        <x:v>0.8125</x:v>
      </x:c>
      <x:c r="E50" s="27" t="n">
        <x:v>0.8611111111111112</x:v>
      </x:c>
      <x:c r="F50"/>
      <x:c r="G50"/>
    </x:row>
    <x:row r="51">
      <x:c r="A51" t="str">
        <x:v>V06</x:v>
      </x:c>
      <x:c r="B51" t="str">
        <x:v>OUTBOUND-003</x:v>
      </x:c>
      <x:c r="C51" t="str">
        <x:v>outbound</x:v>
      </x:c>
      <x:c r="D51" s="27" t="n">
        <x:v>0.22708333333333333</x:v>
      </x:c>
      <x:c r="E51" s="27" t="n">
        <x:v>0.27569444444444446</x:v>
      </x:c>
      <x:c r="F51" t="str">
        <x:v>INBOUND-010</x:v>
      </x:c>
      <x:c r="G51" t="n">
        <x:v>7</x:v>
      </x:c>
    </x:row>
    <x:row r="52">
      <x:c r="A52" t="str">
        <x:v>V06</x:v>
      </x:c>
      <x:c r="B52" t="str">
        <x:v>INBOUND-010</x:v>
      </x:c>
      <x:c r="C52" t="str">
        <x:v>inbound</x:v>
      </x:c>
      <x:c r="D52" s="27" t="n">
        <x:v>0.28055555555555556</x:v>
      </x:c>
      <x:c r="E52" s="27" t="n">
        <x:v>0.32916666666666666</x:v>
      </x:c>
      <x:c r="F52" t="str">
        <x:v>OUTBOUND-018</x:v>
      </x:c>
      <x:c r="G52" t="n">
        <x:v>27</x:v>
      </x:c>
    </x:row>
    <x:row r="53">
      <x:c r="A53" t="str">
        <x:v>V06</x:v>
      </x:c>
      <x:c r="B53" t="str">
        <x:v>OUTBOUND-018</x:v>
      </x:c>
      <x:c r="C53" t="str">
        <x:v>outbound</x:v>
      </x:c>
      <x:c r="D53" s="27" t="n">
        <x:v>0.34791666666666665</x:v>
      </x:c>
      <x:c r="E53" s="27" t="n">
        <x:v>0.39652777777777776</x:v>
      </x:c>
      <x:c r="F53" t="str">
        <x:v>INBOUND-027</x:v>
      </x:c>
      <x:c r="G53" t="n">
        <x:v>41</x:v>
      </x:c>
    </x:row>
    <x:row r="54">
      <x:c r="A54" t="str">
        <x:v>V06</x:v>
      </x:c>
      <x:c r="B54" t="str">
        <x:v>INBOUND-027</x:v>
      </x:c>
      <x:c r="C54" t="str">
        <x:v>inbound</x:v>
      </x:c>
      <x:c r="D54" s="27" t="n">
        <x:v>0.425</x:v>
      </x:c>
      <x:c r="E54" s="27" t="n">
        <x:v>0.4736111111111111</x:v>
      </x:c>
      <x:c r="F54" t="str">
        <x:v>OUTBOUND-035</x:v>
      </x:c>
      <x:c r="G54" t="n">
        <x:v>25</x:v>
      </x:c>
    </x:row>
    <x:row r="55">
      <x:c r="A55" t="str">
        <x:v>V06</x:v>
      </x:c>
      <x:c r="B55" t="str">
        <x:v>OUTBOUND-035</x:v>
      </x:c>
      <x:c r="C55" t="str">
        <x:v>outbound</x:v>
      </x:c>
      <x:c r="D55" s="27" t="n">
        <x:v>0.4909722222222222</x:v>
      </x:c>
      <x:c r="E55" s="27" t="n">
        <x:v>0.5395833333333333</x:v>
      </x:c>
      <x:c r="F55" t="str">
        <x:v>INBOUND-044</x:v>
      </x:c>
      <x:c r="G55" t="n">
        <x:v>39</x:v>
      </x:c>
    </x:row>
    <x:row r="56">
      <x:c r="A56" t="str">
        <x:v>V06</x:v>
      </x:c>
      <x:c r="B56" t="str">
        <x:v>INBOUND-044</x:v>
      </x:c>
      <x:c r="C56" t="str">
        <x:v>inbound</x:v>
      </x:c>
      <x:c r="D56" s="27" t="n">
        <x:v>0.5666666666666667</x:v>
      </x:c>
      <x:c r="E56" s="27" t="n">
        <x:v>0.6152777777777778</x:v>
      </x:c>
      <x:c r="F56" t="str">
        <x:v>OUTBOUND-052</x:v>
      </x:c>
      <x:c r="G56" t="n">
        <x:v>66</x:v>
      </x:c>
    </x:row>
    <x:row r="57">
      <x:c r="A57" t="str">
        <x:v>V06</x:v>
      </x:c>
      <x:c r="B57" t="str">
        <x:v>OUTBOUND-052</x:v>
      </x:c>
      <x:c r="C57" t="str">
        <x:v>outbound</x:v>
      </x:c>
      <x:c r="D57" s="27" t="n">
        <x:v>0.6611111111111111</x:v>
      </x:c>
      <x:c r="E57" s="27" t="n">
        <x:v>0.7097222222222223</x:v>
      </x:c>
      <x:c r="F57" t="str">
        <x:v>INBOUND-062</x:v>
      </x:c>
      <x:c r="G57" t="n">
        <x:v>10</x:v>
      </x:c>
    </x:row>
    <x:row r="58">
      <x:c r="A58" t="str">
        <x:v>V06</x:v>
      </x:c>
      <x:c r="B58" t="str">
        <x:v>INBOUND-062</x:v>
      </x:c>
      <x:c r="C58" t="str">
        <x:v>inbound</x:v>
      </x:c>
      <x:c r="D58" s="27" t="n">
        <x:v>0.7166666666666667</x:v>
      </x:c>
      <x:c r="E58" s="27" t="n">
        <x:v>0.7652777777777777</x:v>
      </x:c>
      <x:c r="F58" t="str">
        <x:v>OUTBOUND-070</x:v>
      </x:c>
      <x:c r="G58" t="n">
        <x:v>38</x:v>
      </x:c>
    </x:row>
    <x:row r="59">
      <x:c r="A59" t="str">
        <x:v>V06</x:v>
      </x:c>
      <x:c r="B59" t="str">
        <x:v>OUTBOUND-070</x:v>
      </x:c>
      <x:c r="C59" t="str">
        <x:v>outbound</x:v>
      </x:c>
      <x:c r="D59" s="27" t="n">
        <x:v>0.7916666666666666</x:v>
      </x:c>
      <x:c r="E59" s="27" t="n">
        <x:v>0.8402777777777778</x:v>
      </x:c>
      <x:c r="F59"/>
      <x:c r="G59"/>
    </x:row>
    <x:row r="60">
      <x:c r="A60" t="str">
        <x:v>V07</x:v>
      </x:c>
      <x:c r="B60" t="str">
        <x:v>INBOUND-004</x:v>
      </x:c>
      <x:c r="C60" t="str">
        <x:v>inbound</x:v>
      </x:c>
      <x:c r="D60" s="27" t="n">
        <x:v>0.23819444444444443</x:v>
      </x:c>
      <x:c r="E60" s="27" t="n">
        <x:v>0.28680555555555554</x:v>
      </x:c>
      <x:c r="F60" t="str">
        <x:v>OUTBOUND-011</x:v>
      </x:c>
      <x:c r="G60" t="n">
        <x:v>6</x:v>
      </x:c>
    </x:row>
    <x:row r="61">
      <x:c r="A61" t="str">
        <x:v>V07</x:v>
      </x:c>
      <x:c r="B61" t="str">
        <x:v>OUTBOUND-011</x:v>
      </x:c>
      <x:c r="C61" t="str">
        <x:v>outbound</x:v>
      </x:c>
      <x:c r="D61" s="27" t="n">
        <x:v>0.29097222222222224</x:v>
      </x:c>
      <x:c r="E61" s="27" t="n">
        <x:v>0.33958333333333335</x:v>
      </x:c>
      <x:c r="F61" t="str">
        <x:v>INBOUND-020</x:v>
      </x:c>
      <x:c r="G61" t="n">
        <x:v>25</x:v>
      </x:c>
    </x:row>
    <x:row r="62">
      <x:c r="A62" t="str">
        <x:v>V07</x:v>
      </x:c>
      <x:c r="B62" t="str">
        <x:v>INBOUND-020</x:v>
      </x:c>
      <x:c r="C62" t="str">
        <x:v>inbound</x:v>
      </x:c>
      <x:c r="D62" s="27" t="n">
        <x:v>0.35694444444444445</x:v>
      </x:c>
      <x:c r="E62" s="27" t="n">
        <x:v>0.40555555555555556</x:v>
      </x:c>
      <x:c r="F62" t="str">
        <x:v>OUTBOUND-028</x:v>
      </x:c>
      <x:c r="G62" t="n">
        <x:v>53</x:v>
      </x:c>
    </x:row>
    <x:row r="63">
      <x:c r="A63" t="str">
        <x:v>V07</x:v>
      </x:c>
      <x:c r="B63" t="str">
        <x:v>OUTBOUND-028</x:v>
      </x:c>
      <x:c r="C63" t="str">
        <x:v>outbound</x:v>
      </x:c>
      <x:c r="D63" s="27" t="n">
        <x:v>0.4423611111111111</x:v>
      </x:c>
      <x:c r="E63" s="27" t="n">
        <x:v>0.4909722222222222</x:v>
      </x:c>
      <x:c r="F63" t="str">
        <x:v>INBOUND-037</x:v>
      </x:c>
      <x:c r="G63" t="n">
        <x:v>9</x:v>
      </x:c>
    </x:row>
    <x:row r="64">
      <x:c r="A64" t="str">
        <x:v>V07</x:v>
      </x:c>
      <x:c r="B64" t="str">
        <x:v>INBOUND-037</x:v>
      </x:c>
      <x:c r="C64" t="str">
        <x:v>inbound</x:v>
      </x:c>
      <x:c r="D64" s="27" t="n">
        <x:v>0.49722222222222223</x:v>
      </x:c>
      <x:c r="E64" s="27" t="n">
        <x:v>0.5458333333333333</x:v>
      </x:c>
      <x:c r="F64" t="str">
        <x:v>OUTBOUND-045</x:v>
      </x:c>
      <x:c r="G64" t="n">
        <x:v>61</x:v>
      </x:c>
    </x:row>
    <x:row r="65">
      <x:c r="A65" t="str">
        <x:v>V07</x:v>
      </x:c>
      <x:c r="B65" t="str">
        <x:v>OUTBOUND-045</x:v>
      </x:c>
      <x:c r="C65" t="str">
        <x:v>outbound</x:v>
      </x:c>
      <x:c r="D65" s="27" t="n">
        <x:v>0.5881944444444445</x:v>
      </x:c>
      <x:c r="E65" s="27" t="n">
        <x:v>0.6368055555555555</x:v>
      </x:c>
      <x:c r="F65" t="str">
        <x:v>INBOUND-054</x:v>
      </x:c>
      <x:c r="G65" t="n">
        <x:v>43</x:v>
      </x:c>
    </x:row>
    <x:row r="66">
      <x:c r="A66" t="str">
        <x:v>V07</x:v>
      </x:c>
      <x:c r="B66" t="str">
        <x:v>INBOUND-054</x:v>
      </x:c>
      <x:c r="C66" t="str">
        <x:v>inbound</x:v>
      </x:c>
      <x:c r="D66" s="27" t="n">
        <x:v>0.6666666666666666</x:v>
      </x:c>
      <x:c r="E66" s="27" t="n">
        <x:v>0.7152777777777778</x:v>
      </x:c>
      <x:c r="F66" t="str">
        <x:v>OUTBOUND-062</x:v>
      </x:c>
      <x:c r="G66" t="n">
        <x:v>9</x:v>
      </x:c>
    </x:row>
    <x:row r="67">
      <x:c r="A67" t="str">
        <x:v>V07</x:v>
      </x:c>
      <x:c r="B67" t="str">
        <x:v>OUTBOUND-062</x:v>
      </x:c>
      <x:c r="C67" t="str">
        <x:v>outbound</x:v>
      </x:c>
      <x:c r="D67" s="27" t="n">
        <x:v>0.7215277777777778</x:v>
      </x:c>
      <x:c r="E67" s="27" t="n">
        <x:v>0.7701388888888889</x:v>
      </x:c>
      <x:c r="F67" t="str">
        <x:v>INBOUND-073</x:v>
      </x:c>
      <x:c r="G67" t="n">
        <x:v>76</x:v>
      </x:c>
    </x:row>
    <x:row r="68">
      <x:c r="A68" t="str">
        <x:v>V07</x:v>
      </x:c>
      <x:c r="B68" t="str">
        <x:v>INBOUND-073</x:v>
      </x:c>
      <x:c r="C68" t="str">
        <x:v>inbound</x:v>
      </x:c>
      <x:c r="D68" s="27" t="n">
        <x:v>0.8229166666666666</x:v>
      </x:c>
      <x:c r="E68" s="27" t="n">
        <x:v>0.8715277777777778</x:v>
      </x:c>
      <x:c r="F68"/>
      <x:c r="G68"/>
    </x:row>
    <x:row r="69">
      <x:c r="A69" t="str">
        <x:v>V08</x:v>
      </x:c>
      <x:c r="B69" t="str">
        <x:v>OUTBOUND-004</x:v>
      </x:c>
      <x:c r="C69" t="str">
        <x:v>outbound</x:v>
      </x:c>
      <x:c r="D69" s="27" t="n">
        <x:v>0.23819444444444443</x:v>
      </x:c>
      <x:c r="E69" s="27" t="n">
        <x:v>0.28680555555555554</x:v>
      </x:c>
      <x:c r="F69" t="str">
        <x:v>INBOUND-012</x:v>
      </x:c>
      <x:c r="G69" t="n">
        <x:v>9</x:v>
      </x:c>
    </x:row>
    <x:row r="70">
      <x:c r="A70" t="str">
        <x:v>V08</x:v>
      </x:c>
      <x:c r="B70" t="str">
        <x:v>INBOUND-012</x:v>
      </x:c>
      <x:c r="C70" t="str">
        <x:v>inbound</x:v>
      </x:c>
      <x:c r="D70" s="27" t="n">
        <x:v>0.29305555555555557</x:v>
      </x:c>
      <x:c r="E70" s="27" t="n">
        <x:v>0.3416666666666667</x:v>
      </x:c>
      <x:c r="F70" t="str">
        <x:v>OUTBOUND-020</x:v>
      </x:c>
      <x:c r="G70" t="n">
        <x:v>37</x:v>
      </x:c>
    </x:row>
    <x:row r="71">
      <x:c r="A71" t="str">
        <x:v>V08</x:v>
      </x:c>
      <x:c r="B71" t="str">
        <x:v>OUTBOUND-020</x:v>
      </x:c>
      <x:c r="C71" t="str">
        <x:v>outbound</x:v>
      </x:c>
      <x:c r="D71" s="27" t="n">
        <x:v>0.36736111111111114</x:v>
      </x:c>
      <x:c r="E71" s="27" t="n">
        <x:v>0.41597222222222224</x:v>
      </x:c>
      <x:c r="F71" t="str">
        <x:v>INBOUND-029</x:v>
      </x:c>
      <x:c r="G71" t="n">
        <x:v>37</x:v>
      </x:c>
    </x:row>
    <x:row r="72">
      <x:c r="A72" t="str">
        <x:v>V08</x:v>
      </x:c>
      <x:c r="B72" t="str">
        <x:v>INBOUND-029</x:v>
      </x:c>
      <x:c r="C72" t="str">
        <x:v>inbound</x:v>
      </x:c>
      <x:c r="D72" s="27" t="n">
        <x:v>0.44166666666666665</x:v>
      </x:c>
      <x:c r="E72" s="27" t="n">
        <x:v>0.49027777777777776</x:v>
      </x:c>
      <x:c r="F72" t="str">
        <x:v>OUTBOUND-037</x:v>
      </x:c>
      <x:c r="G72" t="n">
        <x:v>21</x:v>
      </x:c>
    </x:row>
    <x:row r="73">
      <x:c r="A73" t="str">
        <x:v>V08</x:v>
      </x:c>
      <x:c r="B73" t="str">
        <x:v>OUTBOUND-037</x:v>
      </x:c>
      <x:c r="C73" t="str">
        <x:v>outbound</x:v>
      </x:c>
      <x:c r="D73" s="27" t="n">
        <x:v>0.5048611111111111</x:v>
      </x:c>
      <x:c r="E73" s="27" t="n">
        <x:v>0.5534722222222223</x:v>
      </x:c>
      <x:c r="F73" t="str">
        <x:v>INBOUND-046</x:v>
      </x:c>
      <x:c r="G73" t="n">
        <x:v>49</x:v>
      </x:c>
    </x:row>
    <x:row r="74">
      <x:c r="A74" t="str">
        <x:v>V08</x:v>
      </x:c>
      <x:c r="B74" t="str">
        <x:v>INBOUND-046</x:v>
      </x:c>
      <x:c r="C74" t="str">
        <x:v>inbound</x:v>
      </x:c>
      <x:c r="D74" s="27" t="n">
        <x:v>0.5875</x:v>
      </x:c>
      <x:c r="E74" s="27" t="n">
        <x:v>0.6361111111111111</x:v>
      </x:c>
      <x:c r="F74" t="str">
        <x:v>OUTBOUND-054</x:v>
      </x:c>
      <x:c r="G74" t="n">
        <x:v>59</x:v>
      </x:c>
    </x:row>
    <x:row r="75">
      <x:c r="A75" t="str">
        <x:v>V08</x:v>
      </x:c>
      <x:c r="B75" t="str">
        <x:v>OUTBOUND-054</x:v>
      </x:c>
      <x:c r="C75" t="str">
        <x:v>outbound</x:v>
      </x:c>
      <x:c r="D75" s="27" t="n">
        <x:v>0.6770833333333334</x:v>
      </x:c>
      <x:c r="E75" s="27" t="n">
        <x:v>0.7256944444444444</x:v>
      </x:c>
      <x:c r="F75" t="str">
        <x:v>INBOUND-065</x:v>
      </x:c>
      <x:c r="G75" t="n">
        <x:v>20</x:v>
      </x:c>
    </x:row>
    <x:row r="76">
      <x:c r="A76" t="str">
        <x:v>V08</x:v>
      </x:c>
      <x:c r="B76" t="str">
        <x:v>INBOUND-065</x:v>
      </x:c>
      <x:c r="C76" t="str">
        <x:v>inbound</x:v>
      </x:c>
      <x:c r="D76" s="27" t="n">
        <x:v>0.7395833333333334</x:v>
      </x:c>
      <x:c r="E76" s="27" t="n">
        <x:v>0.7881944444444444</x:v>
      </x:c>
      <x:c r="F76" t="str">
        <x:v>OUTBOUND-073</x:v>
      </x:c>
      <x:c r="G76" t="n">
        <x:v>50</x:v>
      </x:c>
    </x:row>
    <x:row r="77">
      <x:c r="A77" t="str">
        <x:v>V08</x:v>
      </x:c>
      <x:c r="B77" t="str">
        <x:v>OUTBOUND-073</x:v>
      </x:c>
      <x:c r="C77" t="str">
        <x:v>outbound</x:v>
      </x:c>
      <x:c r="D77" s="27" t="n">
        <x:v>0.8229166666666666</x:v>
      </x:c>
      <x:c r="E77" s="27" t="n">
        <x:v>0.8715277777777778</x:v>
      </x:c>
      <x:c r="F77"/>
      <x:c r="G77"/>
    </x:row>
    <x:row r="78">
      <x:c r="A78" t="str">
        <x:v>V09</x:v>
      </x:c>
      <x:c r="B78" t="str">
        <x:v>INBOUND-005</x:v>
      </x:c>
      <x:c r="C78" t="str">
        <x:v>inbound</x:v>
      </x:c>
      <x:c r="D78" s="27" t="n">
        <x:v>0.24930555555555556</x:v>
      </x:c>
      <x:c r="E78" s="27" t="n">
        <x:v>0.29791666666666666</x:v>
      </x:c>
      <x:c r="F78" t="str">
        <x:v>OUTBOUND-013</x:v>
      </x:c>
      <x:c r="G78" t="n">
        <x:v>10</x:v>
      </x:c>
    </x:row>
    <x:row r="79">
      <x:c r="A79" t="str">
        <x:v>V09</x:v>
      </x:c>
      <x:c r="B79" t="str">
        <x:v>OUTBOUND-013</x:v>
      </x:c>
      <x:c r="C79" t="str">
        <x:v>outbound</x:v>
      </x:c>
      <x:c r="D79" s="27" t="n">
        <x:v>0.30486111111111114</x:v>
      </x:c>
      <x:c r="E79" s="27" t="n">
        <x:v>0.35347222222222224</x:v>
      </x:c>
      <x:c r="F79" t="str">
        <x:v>INBOUND-022</x:v>
      </x:c>
      <x:c r="G79" t="n">
        <x:v>33</x:v>
      </x:c>
    </x:row>
    <x:row r="80">
      <x:c r="A80" t="str">
        <x:v>V09</x:v>
      </x:c>
      <x:c r="B80" t="str">
        <x:v>INBOUND-022</x:v>
      </x:c>
      <x:c r="C80" t="str">
        <x:v>inbound</x:v>
      </x:c>
      <x:c r="D80" s="27" t="n">
        <x:v>0.3763888888888889</x:v>
      </x:c>
      <x:c r="E80" s="27" t="n">
        <x:v>0.425</x:v>
      </x:c>
      <x:c r="F80" t="str">
        <x:v>OUTBOUND-030</x:v>
      </x:c>
      <x:c r="G80" t="n">
        <x:v>45</x:v>
      </x:c>
    </x:row>
    <x:row r="81">
      <x:c r="A81" t="str">
        <x:v>V09</x:v>
      </x:c>
      <x:c r="B81" t="str">
        <x:v>OUTBOUND-030</x:v>
      </x:c>
      <x:c r="C81" t="str">
        <x:v>outbound</x:v>
      </x:c>
      <x:c r="D81" s="27" t="n">
        <x:v>0.45625</x:v>
      </x:c>
      <x:c r="E81" s="27" t="n">
        <x:v>0.5048611111111111</x:v>
      </x:c>
      <x:c r="F81" t="str">
        <x:v>INBOUND-039</x:v>
      </x:c>
      <x:c r="G81" t="n">
        <x:v>14</x:v>
      </x:c>
    </x:row>
    <x:row r="82">
      <x:c r="A82" t="str">
        <x:v>V09</x:v>
      </x:c>
      <x:c r="B82" t="str">
        <x:v>INBOUND-039</x:v>
      </x:c>
      <x:c r="C82" t="str">
        <x:v>inbound</x:v>
      </x:c>
      <x:c r="D82" s="27" t="n">
        <x:v>0.5145833333333333</x:v>
      </x:c>
      <x:c r="E82" s="27" t="n">
        <x:v>0.5631944444444444</x:v>
      </x:c>
      <x:c r="F82" t="str">
        <x:v>OUTBOUND-047</x:v>
      </x:c>
      <x:c r="G82" t="n">
        <x:v>66</x:v>
      </x:c>
    </x:row>
    <x:row r="83">
      <x:c r="A83" t="str">
        <x:v>V09</x:v>
      </x:c>
      <x:c r="B83" t="str">
        <x:v>OUTBOUND-047</x:v>
      </x:c>
      <x:c r="C83" t="str">
        <x:v>outbound</x:v>
      </x:c>
      <x:c r="D83" s="27" t="n">
        <x:v>0.6090277777777777</x:v>
      </x:c>
      <x:c r="E83" s="27" t="n">
        <x:v>0.6576388888888889</x:v>
      </x:c>
      <x:c r="F83" t="str">
        <x:v>INBOUND-056</x:v>
      </x:c>
      <x:c r="G83" t="n">
        <x:v>31</x:v>
      </x:c>
    </x:row>
    <x:row r="84">
      <x:c r="A84" t="str">
        <x:v>V09</x:v>
      </x:c>
      <x:c r="B84" t="str">
        <x:v>INBOUND-056</x:v>
      </x:c>
      <x:c r="C84" t="str">
        <x:v>inbound</x:v>
      </x:c>
      <x:c r="D84" s="27" t="n">
        <x:v>0.6791666666666667</x:v>
      </x:c>
      <x:c r="E84" s="27" t="n">
        <x:v>0.7277777777777777</x:v>
      </x:c>
      <x:c r="F84" t="str">
        <x:v>OUTBOUND-064</x:v>
      </x:c>
      <x:c r="G84" t="n">
        <x:v>7</x:v>
      </x:c>
    </x:row>
    <x:row r="85">
      <x:c r="A85" t="str">
        <x:v>V09</x:v>
      </x:c>
      <x:c r="B85" t="str">
        <x:v>OUTBOUND-064</x:v>
      </x:c>
      <x:c r="C85" t="str">
        <x:v>outbound</x:v>
      </x:c>
      <x:c r="D85" s="27" t="n">
        <x:v>0.7326388888888888</x:v>
      </x:c>
      <x:c r="E85" s="27" t="n">
        <x:v>0.78125</x:v>
      </x:c>
      <x:c r="F85" t="str">
        <x:v>INBOUND-075</x:v>
      </x:c>
      <x:c r="G85" t="n">
        <x:v>90</x:v>
      </x:c>
    </x:row>
    <x:row r="86">
      <x:c r="A86" t="str">
        <x:v>V09</x:v>
      </x:c>
      <x:c r="B86" t="str">
        <x:v>INBOUND-075</x:v>
      </x:c>
      <x:c r="C86" t="str">
        <x:v>inbound</x:v>
      </x:c>
      <x:c r="D86" s="27" t="n">
        <x:v>0.84375</x:v>
      </x:c>
      <x:c r="E86" s="27" t="n">
        <x:v>0.8923611111111112</x:v>
      </x:c>
      <x:c r="F86"/>
      <x:c r="G86"/>
    </x:row>
    <x:row r="87">
      <x:c r="A87" t="str">
        <x:v>V10</x:v>
      </x:c>
      <x:c r="B87" t="str">
        <x:v>OUTBOUND-005</x:v>
      </x:c>
      <x:c r="C87" t="str">
        <x:v>outbound</x:v>
      </x:c>
      <x:c r="D87" s="27" t="n">
        <x:v>0.24930555555555556</x:v>
      </x:c>
      <x:c r="E87" s="27" t="n">
        <x:v>0.29791666666666666</x:v>
      </x:c>
      <x:c r="F87" t="str">
        <x:v>INBOUND-014</x:v>
      </x:c>
      <x:c r="G87" t="n">
        <x:v>11</x:v>
      </x:c>
    </x:row>
    <x:row r="88">
      <x:c r="A88" t="str">
        <x:v>V10</x:v>
      </x:c>
      <x:c r="B88" t="str">
        <x:v>INBOUND-014</x:v>
      </x:c>
      <x:c r="C88" t="str">
        <x:v>inbound</x:v>
      </x:c>
      <x:c r="D88" s="27" t="n">
        <x:v>0.3055555555555556</x:v>
      </x:c>
      <x:c r="E88" s="27" t="n">
        <x:v>0.3541666666666667</x:v>
      </x:c>
      <x:c r="F88" t="str">
        <x:v>OUTBOUND-022</x:v>
      </x:c>
      <x:c r="G88" t="n">
        <x:v>47</x:v>
      </x:c>
    </x:row>
    <x:row r="89">
      <x:c r="A89" t="str">
        <x:v>V10</x:v>
      </x:c>
      <x:c r="B89" t="str">
        <x:v>OUTBOUND-022</x:v>
      </x:c>
      <x:c r="C89" t="str">
        <x:v>outbound</x:v>
      </x:c>
      <x:c r="D89" s="27" t="n">
        <x:v>0.38680555555555557</x:v>
      </x:c>
      <x:c r="E89" s="27" t="n">
        <x:v>0.4354166666666667</x:v>
      </x:c>
      <x:c r="F89" t="str">
        <x:v>INBOUND-031</x:v>
      </x:c>
      <x:c r="G89" t="n">
        <x:v>29</x:v>
      </x:c>
    </x:row>
    <x:row r="90">
      <x:c r="A90" t="str">
        <x:v>V10</x:v>
      </x:c>
      <x:c r="B90" t="str">
        <x:v>INBOUND-031</x:v>
      </x:c>
      <x:c r="C90" t="str">
        <x:v>inbound</x:v>
      </x:c>
      <x:c r="D90" s="27" t="n">
        <x:v>0.45555555555555555</x:v>
      </x:c>
      <x:c r="E90" s="27" t="n">
        <x:v>0.5041666666666667</x:v>
      </x:c>
      <x:c r="F90" t="str">
        <x:v>OUTBOUND-039</x:v>
      </x:c>
      <x:c r="G90" t="n">
        <x:v>31</x:v>
      </x:c>
    </x:row>
    <x:row r="91">
      <x:c r="A91" t="str">
        <x:v>V10</x:v>
      </x:c>
      <x:c r="B91" t="str">
        <x:v>OUTBOUND-039</x:v>
      </x:c>
      <x:c r="C91" t="str">
        <x:v>outbound</x:v>
      </x:c>
      <x:c r="D91" s="27" t="n">
        <x:v>0.5256944444444445</x:v>
      </x:c>
      <x:c r="E91" s="27" t="n">
        <x:v>0.5743055555555555</x:v>
      </x:c>
      <x:c r="F91" t="str">
        <x:v>INBOUND-048</x:v>
      </x:c>
      <x:c r="G91" t="n">
        <x:v>49</x:v>
      </x:c>
    </x:row>
    <x:row r="92">
      <x:c r="A92" t="str">
        <x:v>V10</x:v>
      </x:c>
      <x:c r="B92" t="str">
        <x:v>INBOUND-048</x:v>
      </x:c>
      <x:c r="C92" t="str">
        <x:v>inbound</x:v>
      </x:c>
      <x:c r="D92" s="27" t="n">
        <x:v>0.6083333333333333</x:v>
      </x:c>
      <x:c r="E92" s="27" t="n">
        <x:v>0.6569444444444444</x:v>
      </x:c>
      <x:c r="F92" t="str">
        <x:v>OUTBOUND-056</x:v>
      </x:c>
      <x:c r="G92" t="n">
        <x:v>45</x:v>
      </x:c>
    </x:row>
    <x:row r="93">
      <x:c r="A93" t="str">
        <x:v>V10</x:v>
      </x:c>
      <x:c r="B93" t="str">
        <x:v>OUTBOUND-056</x:v>
      </x:c>
      <x:c r="C93" t="str">
        <x:v>outbound</x:v>
      </x:c>
      <x:c r="D93" s="27" t="n">
        <x:v>0.6881944444444444</x:v>
      </x:c>
      <x:c r="E93" s="27" t="n">
        <x:v>0.7368055555555556</x:v>
      </x:c>
      <x:c r="F93" t="str">
        <x:v>INBOUND-067</x:v>
      </x:c>
      <x:c r="G93" t="n">
        <x:v>34</x:v>
      </x:c>
    </x:row>
    <x:row r="94">
      <x:c r="A94" t="str">
        <x:v>V10</x:v>
      </x:c>
      <x:c r="B94" t="str">
        <x:v>INBOUND-067</x:v>
      </x:c>
      <x:c r="C94" t="str">
        <x:v>inbound</x:v>
      </x:c>
      <x:c r="D94" s="27" t="n">
        <x:v>0.7604166666666666</x:v>
      </x:c>
      <x:c r="E94" s="27" t="n">
        <x:v>0.8090277777777778</x:v>
      </x:c>
      <x:c r="F94" t="str">
        <x:v>OUTBOUND-075</x:v>
      </x:c>
      <x:c r="G94" t="n">
        <x:v>50</x:v>
      </x:c>
    </x:row>
    <x:row r="95">
      <x:c r="A95" t="str">
        <x:v>V10</x:v>
      </x:c>
      <x:c r="B95" t="str">
        <x:v>OUTBOUND-075</x:v>
      </x:c>
      <x:c r="C95" t="str">
        <x:v>outbound</x:v>
      </x:c>
      <x:c r="D95" s="27" t="n">
        <x:v>0.84375</x:v>
      </x:c>
      <x:c r="E95" s="27" t="n">
        <x:v>0.8923611111111112</x:v>
      </x:c>
      <x:c r="F95"/>
      <x:c r="G95"/>
    </x:row>
    <x:row r="96">
      <x:c r="A96" t="str">
        <x:v>V11</x:v>
      </x:c>
      <x:c r="B96" t="str">
        <x:v>INBOUND-006</x:v>
      </x:c>
      <x:c r="C96" t="str">
        <x:v>inbound</x:v>
      </x:c>
      <x:c r="D96" s="27" t="n">
        <x:v>0.25555555555555554</x:v>
      </x:c>
      <x:c r="E96" s="27" t="n">
        <x:v>0.30416666666666664</x:v>
      </x:c>
      <x:c r="F96" t="str">
        <x:v>OUTBOUND-014</x:v>
      </x:c>
      <x:c r="G96" t="n">
        <x:v>11</x:v>
      </x:c>
    </x:row>
    <x:row r="97">
      <x:c r="A97" t="str">
        <x:v>V11</x:v>
      </x:c>
      <x:c r="B97" t="str">
        <x:v>OUTBOUND-014</x:v>
      </x:c>
      <x:c r="C97" t="str">
        <x:v>outbound</x:v>
      </x:c>
      <x:c r="D97" s="27" t="n">
        <x:v>0.31180555555555556</x:v>
      </x:c>
      <x:c r="E97" s="27" t="n">
        <x:v>0.36041666666666666</x:v>
      </x:c>
      <x:c r="F97" t="str">
        <x:v>INBOUND-023</x:v>
      </x:c>
      <x:c r="G97" t="n">
        <x:v>37</x:v>
      </x:c>
    </x:row>
    <x:row r="98">
      <x:c r="A98" t="str">
        <x:v>V11</x:v>
      </x:c>
      <x:c r="B98" t="str">
        <x:v>INBOUND-023</x:v>
      </x:c>
      <x:c r="C98" t="str">
        <x:v>inbound</x:v>
      </x:c>
      <x:c r="D98" s="27" t="n">
        <x:v>0.3861111111111111</x:v>
      </x:c>
      <x:c r="E98" s="27" t="n">
        <x:v>0.43472222222222223</x:v>
      </x:c>
      <x:c r="F98" t="str">
        <x:v>OUTBOUND-031</x:v>
      </x:c>
      <x:c r="G98" t="n">
        <x:v>41</x:v>
      </x:c>
    </x:row>
    <x:row r="99">
      <x:c r="A99" t="str">
        <x:v>V11</x:v>
      </x:c>
      <x:c r="B99" t="str">
        <x:v>OUTBOUND-031</x:v>
      </x:c>
      <x:c r="C99" t="str">
        <x:v>outbound</x:v>
      </x:c>
      <x:c r="D99" s="27" t="n">
        <x:v>0.46319444444444446</x:v>
      </x:c>
      <x:c r="E99" s="27" t="n">
        <x:v>0.5118055555555555</x:v>
      </x:c>
      <x:c r="F99" t="str">
        <x:v>INBOUND-040</x:v>
      </x:c>
      <x:c r="G99" t="n">
        <x:v>19</x:v>
      </x:c>
    </x:row>
    <x:row r="100">
      <x:c r="A100" t="str">
        <x:v>V11</x:v>
      </x:c>
      <x:c r="B100" t="str">
        <x:v>INBOUND-040</x:v>
      </x:c>
      <x:c r="C100" t="str">
        <x:v>inbound</x:v>
      </x:c>
      <x:c r="D100" s="27" t="n">
        <x:v>0.525</x:v>
      </x:c>
      <x:c r="E100" s="27" t="n">
        <x:v>0.5736111111111111</x:v>
      </x:c>
      <x:c r="F100" t="str">
        <x:v>OUTBOUND-048</x:v>
      </x:c>
      <x:c r="G100" t="n">
        <x:v>66</x:v>
      </x:c>
    </x:row>
    <x:row r="101">
      <x:c r="A101" t="str">
        <x:v>V11</x:v>
      </x:c>
      <x:c r="B101" t="str">
        <x:v>OUTBOUND-048</x:v>
      </x:c>
      <x:c r="C101" t="str">
        <x:v>outbound</x:v>
      </x:c>
      <x:c r="D101" s="27" t="n">
        <x:v>0.6194444444444445</x:v>
      </x:c>
      <x:c r="E101" s="27" t="n">
        <x:v>0.6680555555555555</x:v>
      </x:c>
      <x:c r="F101" t="str">
        <x:v>INBOUND-057</x:v>
      </x:c>
      <x:c r="G101" t="n">
        <x:v>25</x:v>
      </x:c>
    </x:row>
    <x:row r="102">
      <x:c r="A102" t="str">
        <x:v>V11</x:v>
      </x:c>
      <x:c r="B102" t="str">
        <x:v>INBOUND-057</x:v>
      </x:c>
      <x:c r="C102" t="str">
        <x:v>inbound</x:v>
      </x:c>
      <x:c r="D102" s="27" t="n">
        <x:v>0.6854166666666667</x:v>
      </x:c>
      <x:c r="E102" s="27" t="n">
        <x:v>0.7340277777777777</x:v>
      </x:c>
      <x:c r="F102" t="str">
        <x:v>OUTBOUND-065</x:v>
      </x:c>
      <x:c r="G102" t="n">
        <x:v>12</x:v>
      </x:c>
    </x:row>
    <x:row r="103">
      <x:c r="A103" t="str">
        <x:v>V11</x:v>
      </x:c>
      <x:c r="B103" t="str">
        <x:v>OUTBOUND-065</x:v>
      </x:c>
      <x:c r="C103" t="str">
        <x:v>outbound</x:v>
      </x:c>
      <x:c r="D103" s="27" t="n">
        <x:v>0.7423611111111111</x:v>
      </x:c>
      <x:c r="E103" s="27" t="n">
        <x:v>0.7909722222222222</x:v>
      </x:c>
      <x:c r="F103" t="str">
        <x:v>INBOUND-076</x:v>
      </x:c>
      <x:c r="G103" t="n">
        <x:v>91</x:v>
      </x:c>
    </x:row>
    <x:row r="104">
      <x:c r="A104" t="str">
        <x:v>V11</x:v>
      </x:c>
      <x:c r="B104" t="str">
        <x:v>INBOUND-076</x:v>
      </x:c>
      <x:c r="C104" t="str">
        <x:v>inbound</x:v>
      </x:c>
      <x:c r="D104" s="27" t="n">
        <x:v>0.8541666666666666</x:v>
      </x:c>
      <x:c r="E104" s="27" t="n">
        <x:v>0.9027777777777778</x:v>
      </x:c>
      <x:c r="F104"/>
      <x:c r="G104"/>
    </x:row>
    <x:row r="105">
      <x:c r="A105" t="str">
        <x:v>V12</x:v>
      </x:c>
      <x:c r="B105" t="str">
        <x:v>OUTBOUND-006</x:v>
      </x:c>
      <x:c r="C105" t="str">
        <x:v>outbound</x:v>
      </x:c>
      <x:c r="D105" s="27" t="n">
        <x:v>0.25625</x:v>
      </x:c>
      <x:c r="E105" s="27" t="n">
        <x:v>0.30486111111111114</x:v>
      </x:c>
      <x:c r="F105" t="str">
        <x:v>INBOUND-015</x:v>
      </x:c>
      <x:c r="G105" t="n">
        <x:v>10</x:v>
      </x:c>
    </x:row>
    <x:row r="106">
      <x:c r="A106" t="str">
        <x:v>V12</x:v>
      </x:c>
      <x:c r="B106" t="str">
        <x:v>INBOUND-015</x:v>
      </x:c>
      <x:c r="C106" t="str">
        <x:v>inbound</x:v>
      </x:c>
      <x:c r="D106" s="27" t="n">
        <x:v>0.31180555555555556</x:v>
      </x:c>
      <x:c r="E106" s="27" t="n">
        <x:v>0.36041666666666666</x:v>
      </x:c>
      <x:c r="F106" t="str">
        <x:v>OUTBOUND-023</x:v>
      </x:c>
      <x:c r="G106" t="n">
        <x:v>52</x:v>
      </x:c>
    </x:row>
    <x:row r="107">
      <x:c r="A107" t="str">
        <x:v>V12</x:v>
      </x:c>
      <x:c r="B107" t="str">
        <x:v>OUTBOUND-023</x:v>
      </x:c>
      <x:c r="C107" t="str">
        <x:v>outbound</x:v>
      </x:c>
      <x:c r="D107" s="27" t="n">
        <x:v>0.39652777777777776</x:v>
      </x:c>
      <x:c r="E107" s="27" t="n">
        <x:v>0.44513888888888886</x:v>
      </x:c>
      <x:c r="F107" t="str">
        <x:v>INBOUND-032</x:v>
      </x:c>
      <x:c r="G107" t="n">
        <x:v>25</x:v>
      </x:c>
    </x:row>
    <x:row r="108">
      <x:c r="A108" t="str">
        <x:v>V12</x:v>
      </x:c>
      <x:c r="B108" t="str">
        <x:v>INBOUND-032</x:v>
      </x:c>
      <x:c r="C108" t="str">
        <x:v>inbound</x:v>
      </x:c>
      <x:c r="D108" s="27" t="n">
        <x:v>0.4625</x:v>
      </x:c>
      <x:c r="E108" s="27" t="n">
        <x:v>0.5111111111111111</x:v>
      </x:c>
      <x:c r="F108" t="str">
        <x:v>OUTBOUND-040</x:v>
      </x:c>
      <x:c r="G108" t="n">
        <x:v>36</x:v>
      </x:c>
    </x:row>
    <x:row r="109">
      <x:c r="A109" t="str">
        <x:v>V12</x:v>
      </x:c>
      <x:c r="B109" t="str">
        <x:v>OUTBOUND-040</x:v>
      </x:c>
      <x:c r="C109" t="str">
        <x:v>outbound</x:v>
      </x:c>
      <x:c r="D109" s="27" t="n">
        <x:v>0.5361111111111111</x:v>
      </x:c>
      <x:c r="E109" s="27" t="n">
        <x:v>0.5847222222222223</x:v>
      </x:c>
      <x:c r="F109" t="str">
        <x:v>INBOUND-049</x:v>
      </x:c>
      <x:c r="G109" t="n">
        <x:v>49</x:v>
      </x:c>
    </x:row>
    <x:row r="110">
      <x:c r="A110" t="str">
        <x:v>V12</x:v>
      </x:c>
      <x:c r="B110" t="str">
        <x:v>INBOUND-049</x:v>
      </x:c>
      <x:c r="C110" t="str">
        <x:v>inbound</x:v>
      </x:c>
      <x:c r="D110" s="27" t="n">
        <x:v>0.61875</x:v>
      </x:c>
      <x:c r="E110" s="27" t="n">
        <x:v>0.6673611111111111</x:v>
      </x:c>
      <x:c r="F110" t="str">
        <x:v>OUTBOUND-057</x:v>
      </x:c>
      <x:c r="G110" t="n">
        <x:v>38</x:v>
      </x:c>
    </x:row>
    <x:row r="111">
      <x:c r="A111" t="str">
        <x:v>V12</x:v>
      </x:c>
      <x:c r="B111" t="str">
        <x:v>OUTBOUND-057</x:v>
      </x:c>
      <x:c r="C111" t="str">
        <x:v>outbound</x:v>
      </x:c>
      <x:c r="D111" s="27" t="n">
        <x:v>0.69375</x:v>
      </x:c>
      <x:c r="E111" s="27" t="n">
        <x:v>0.7423611111111111</x:v>
      </x:c>
      <x:c r="F111" t="str">
        <x:v>INBOUND-068</x:v>
      </x:c>
      <x:c r="G111" t="n">
        <x:v>41</x:v>
      </x:c>
    </x:row>
    <x:row r="112">
      <x:c r="A112" t="str">
        <x:v>V12</x:v>
      </x:c>
      <x:c r="B112" t="str">
        <x:v>INBOUND-068</x:v>
      </x:c>
      <x:c r="C112" t="str">
        <x:v>inbound</x:v>
      </x:c>
      <x:c r="D112" s="27" t="n">
        <x:v>0.7708333333333334</x:v>
      </x:c>
      <x:c r="E112" s="27" t="n">
        <x:v>0.8194444444444444</x:v>
      </x:c>
      <x:c r="F112" t="str">
        <x:v>OUTBOUND-076</x:v>
      </x:c>
      <x:c r="G112" t="n">
        <x:v>50</x:v>
      </x:c>
    </x:row>
    <x:row r="113">
      <x:c r="A113" t="str">
        <x:v>V12</x:v>
      </x:c>
      <x:c r="B113" t="str">
        <x:v>OUTBOUND-076</x:v>
      </x:c>
      <x:c r="C113" t="str">
        <x:v>outbound</x:v>
      </x:c>
      <x:c r="D113" s="27" t="n">
        <x:v>0.8541666666666666</x:v>
      </x:c>
      <x:c r="E113" s="27" t="n">
        <x:v>0.9027777777777778</x:v>
      </x:c>
      <x:c r="F113"/>
      <x:c r="G113"/>
    </x:row>
    <x:row r="114">
      <x:c r="A114" t="str">
        <x:v>V13</x:v>
      </x:c>
      <x:c r="B114" t="str">
        <x:v>INBOUND-009</x:v>
      </x:c>
      <x:c r="C114" t="str">
        <x:v>inbound</x:v>
      </x:c>
      <x:c r="D114" s="27" t="n">
        <x:v>0.2743055555555556</x:v>
      </x:c>
      <x:c r="E114" s="27" t="n">
        <x:v>0.3229166666666667</x:v>
      </x:c>
      <x:c r="F114" t="str">
        <x:v>OUTBOUND-017</x:v>
      </x:c>
      <x:c r="G114" t="n">
        <x:v>22</x:v>
      </x:c>
    </x:row>
    <x:row r="115">
      <x:c r="A115" t="str">
        <x:v>V13</x:v>
      </x:c>
      <x:c r="B115" t="str">
        <x:v>OUTBOUND-017</x:v>
      </x:c>
      <x:c r="C115" t="str">
        <x:v>outbound</x:v>
      </x:c>
      <x:c r="D115" s="27" t="n">
        <x:v>0.33819444444444446</x:v>
      </x:c>
      <x:c r="E115" s="27" t="n">
        <x:v>0.38680555555555557</x:v>
      </x:c>
      <x:c r="F115" t="str">
        <x:v>INBOUND-026</x:v>
      </x:c>
      <x:c r="G115" t="n">
        <x:v>41</x:v>
      </x:c>
    </x:row>
    <x:row r="116">
      <x:c r="A116" t="str">
        <x:v>V13</x:v>
      </x:c>
      <x:c r="B116" t="str">
        <x:v>INBOUND-026</x:v>
      </x:c>
      <x:c r="C116" t="str">
        <x:v>inbound</x:v>
      </x:c>
      <x:c r="D116" s="27" t="n">
        <x:v>0.4152777777777778</x:v>
      </x:c>
      <x:c r="E116" s="27" t="n">
        <x:v>0.4638888888888889</x:v>
      </x:c>
      <x:c r="F116" t="str">
        <x:v>OUTBOUND-034</x:v>
      </x:c>
      <x:c r="G116" t="n">
        <x:v>29</x:v>
      </x:c>
    </x:row>
    <x:row r="117">
      <x:c r="A117" t="str">
        <x:v>V13</x:v>
      </x:c>
      <x:c r="B117" t="str">
        <x:v>OUTBOUND-034</x:v>
      </x:c>
      <x:c r="C117" t="str">
        <x:v>outbound</x:v>
      </x:c>
      <x:c r="D117" s="27" t="n">
        <x:v>0.4840277777777778</x:v>
      </x:c>
      <x:c r="E117" s="27" t="n">
        <x:v>0.5326388888888889</x:v>
      </x:c>
      <x:c r="F117" t="str">
        <x:v>INBOUND-043</x:v>
      </x:c>
      <x:c r="G117" t="n">
        <x:v>34</x:v>
      </x:c>
    </x:row>
    <x:row r="118">
      <x:c r="A118" t="str">
        <x:v>V13</x:v>
      </x:c>
      <x:c r="B118" t="str">
        <x:v>INBOUND-043</x:v>
      </x:c>
      <x:c r="C118" t="str">
        <x:v>inbound</x:v>
      </x:c>
      <x:c r="D118" s="27" t="n">
        <x:v>0.55625</x:v>
      </x:c>
      <x:c r="E118" s="27" t="n">
        <x:v>0.6048611111111111</x:v>
      </x:c>
      <x:c r="F118" t="str">
        <x:v>OUTBOUND-051</x:v>
      </x:c>
      <x:c r="G118" t="n">
        <x:v>66</x:v>
      </x:c>
    </x:row>
    <x:row r="119">
      <x:c r="A119" t="str">
        <x:v>V13</x:v>
      </x:c>
      <x:c r="B119" t="str">
        <x:v>OUTBOUND-051</x:v>
      </x:c>
      <x:c r="C119" t="str">
        <x:v>outbound</x:v>
      </x:c>
      <x:c r="D119" s="27" t="n">
        <x:v>0.6506944444444445</x:v>
      </x:c>
      <x:c r="E119" s="27" t="n">
        <x:v>0.6993055555555555</x:v>
      </x:c>
      <x:c r="F119" t="str">
        <x:v>INBOUND-060</x:v>
      </x:c>
      <x:c r="G119" t="n">
        <x:v>7</x:v>
      </x:c>
    </x:row>
    <x:row r="120">
      <x:c r="A120" t="str">
        <x:v>V13</x:v>
      </x:c>
      <x:c r="B120" t="str">
        <x:v>INBOUND-060</x:v>
      </x:c>
      <x:c r="C120" t="str">
        <x:v>inbound</x:v>
      </x:c>
      <x:c r="D120" s="27" t="n">
        <x:v>0.7041666666666667</x:v>
      </x:c>
      <x:c r="E120" s="27" t="n">
        <x:v>0.7527777777777778</x:v>
      </x:c>
      <x:c r="F120" t="str">
        <x:v>OUTBOUND-068</x:v>
      </x:c>
      <x:c r="G120" t="n">
        <x:v>27</x:v>
      </x:c>
    </x:row>
    <x:row r="121">
      <x:c r="A121" t="str">
        <x:v>V13</x:v>
      </x:c>
      <x:c r="B121" t="str">
        <x:v>OUTBOUND-068</x:v>
      </x:c>
      <x:c r="C121" t="str">
        <x:v>outbound</x:v>
      </x:c>
      <x:c r="D121" s="27" t="n">
        <x:v>0.7715277777777778</x:v>
      </x:c>
      <x:c r="E121" s="27" t="n">
        <x:v>0.8201388888888889</x:v>
      </x:c>
      <x:c r="F121"/>
      <x:c r="G121"/>
    </x:row>
    <x:row r="122">
      <x:c r="A122" t="str">
        <x:v>V14</x:v>
      </x:c>
      <x:c r="B122" t="str">
        <x:v>OUTBOUND-009</x:v>
      </x:c>
      <x:c r="C122" t="str">
        <x:v>outbound</x:v>
      </x:c>
      <x:c r="D122" s="27" t="n">
        <x:v>0.27708333333333335</x:v>
      </x:c>
      <x:c r="E122" s="27" t="n">
        <x:v>0.32569444444444445</x:v>
      </x:c>
      <x:c r="F122" t="str">
        <x:v>INBOUND-018</x:v>
      </x:c>
      <x:c r="G122" t="n">
        <x:v>17</x:v>
      </x:c>
    </x:row>
    <x:row r="123">
      <x:c r="A123" t="str">
        <x:v>V14</x:v>
      </x:c>
      <x:c r="B123" t="str">
        <x:v>INBOUND-018</x:v>
      </x:c>
      <x:c r="C123" t="str">
        <x:v>inbound</x:v>
      </x:c>
      <x:c r="D123" s="27" t="n">
        <x:v>0.3375</x:v>
      </x:c>
      <x:c r="E123" s="27" t="n">
        <x:v>0.3861111111111111</x:v>
      </x:c>
      <x:c r="F123" t="str">
        <x:v>OUTBOUND-026</x:v>
      </x:c>
      <x:c r="G123" t="n">
        <x:v>57</x:v>
      </x:c>
    </x:row>
    <x:row r="124">
      <x:c r="A124" t="str">
        <x:v>V14</x:v>
      </x:c>
      <x:c r="B124" t="str">
        <x:v>OUTBOUND-026</x:v>
      </x:c>
      <x:c r="C124" t="str">
        <x:v>outbound</x:v>
      </x:c>
      <x:c r="D124" s="27" t="n">
        <x:v>0.42569444444444443</x:v>
      </x:c>
      <x:c r="E124" s="27" t="n">
        <x:v>0.47430555555555554</x:v>
      </x:c>
      <x:c r="F124" t="str">
        <x:v>INBOUND-035</x:v>
      </x:c>
      <x:c r="G124" t="n">
        <x:v>13</x:v>
      </x:c>
    </x:row>
    <x:row r="125">
      <x:c r="A125" t="str">
        <x:v>V14</x:v>
      </x:c>
      <x:c r="B125" t="str">
        <x:v>INBOUND-035</x:v>
      </x:c>
      <x:c r="C125" t="str">
        <x:v>inbound</x:v>
      </x:c>
      <x:c r="D125" s="27" t="n">
        <x:v>0.48333333333333334</x:v>
      </x:c>
      <x:c r="E125" s="27" t="n">
        <x:v>0.5319444444444444</x:v>
      </x:c>
      <x:c r="F125" t="str">
        <x:v>OUTBOUND-043</x:v>
      </x:c>
      <x:c r="G125" t="n">
        <x:v>51</x:v>
      </x:c>
    </x:row>
    <x:row r="126">
      <x:c r="A126" t="str">
        <x:v>V14</x:v>
      </x:c>
      <x:c r="B126" t="str">
        <x:v>OUTBOUND-043</x:v>
      </x:c>
      <x:c r="C126" t="str">
        <x:v>outbound</x:v>
      </x:c>
      <x:c r="D126" s="27" t="n">
        <x:v>0.5673611111111111</x:v>
      </x:c>
      <x:c r="E126" s="27" t="n">
        <x:v>0.6159722222222223</x:v>
      </x:c>
      <x:c r="F126" t="str">
        <x:v>INBOUND-052</x:v>
      </x:c>
      <x:c r="G126" t="n">
        <x:v>49</x:v>
      </x:c>
    </x:row>
    <x:row r="127">
      <x:c r="A127" t="str">
        <x:v>V14</x:v>
      </x:c>
      <x:c r="B127" t="str">
        <x:v>INBOUND-052</x:v>
      </x:c>
      <x:c r="C127" t="str">
        <x:v>inbound</x:v>
      </x:c>
      <x:c r="D127" s="27" t="n">
        <x:v>0.65</x:v>
      </x:c>
      <x:c r="E127" s="27" t="n">
        <x:v>0.6986111111111111</x:v>
      </x:c>
      <x:c r="F127" t="str">
        <x:v>OUTBOUND-060</x:v>
      </x:c>
      <x:c r="G127" t="n">
        <x:v>17</x:v>
      </x:c>
    </x:row>
    <x:row r="128">
      <x:c r="A128" t="str">
        <x:v>V14</x:v>
      </x:c>
      <x:c r="B128" t="str">
        <x:v>OUTBOUND-060</x:v>
      </x:c>
      <x:c r="C128" t="str">
        <x:v>outbound</x:v>
      </x:c>
      <x:c r="D128" s="27" t="n">
        <x:v>0.7104166666666667</x:v>
      </x:c>
      <x:c r="E128" s="27" t="n">
        <x:v>0.7590277777777777</x:v>
      </x:c>
      <x:c r="F128" t="str">
        <x:v>INBOUND-071</x:v>
      </x:c>
      <x:c r="G128" t="n">
        <x:v>62</x:v>
      </x:c>
    </x:row>
    <x:row r="129">
      <x:c r="A129" t="str">
        <x:v>V14</x:v>
      </x:c>
      <x:c r="B129" t="str">
        <x:v>INBOUND-071</x:v>
      </x:c>
      <x:c r="C129" t="str">
        <x:v>inbound</x:v>
      </x:c>
      <x:c r="D129" s="27" t="n">
        <x:v>0.8020833333333334</x:v>
      </x:c>
      <x:c r="E129" s="27" t="n">
        <x:v>0.8506944444444444</x:v>
      </x:c>
      <x:c r="F129"/>
      <x:c r="G129"/>
    </x:row>
    <x:row r="130">
      <x:c r="A130" t="str">
        <x:v>V15</x:v>
      </x:c>
      <x:c r="B130" t="str">
        <x:v>INBOUND-011</x:v>
      </x:c>
      <x:c r="C130" t="str">
        <x:v>inbound</x:v>
      </x:c>
      <x:c r="D130" s="27" t="n">
        <x:v>0.28680555555555554</x:v>
      </x:c>
      <x:c r="E130" s="27" t="n">
        <x:v>0.33541666666666664</x:v>
      </x:c>
      <x:c r="F130" t="str">
        <x:v>OUTBOUND-019</x:v>
      </x:c>
      <x:c r="G130" t="n">
        <x:v>32</x:v>
      </x:c>
    </x:row>
    <x:row r="131">
      <x:c r="A131" t="str">
        <x:v>V15</x:v>
      </x:c>
      <x:c r="B131" t="str">
        <x:v>OUTBOUND-019</x:v>
      </x:c>
      <x:c r="C131" t="str">
        <x:v>outbound</x:v>
      </x:c>
      <x:c r="D131" s="27" t="n">
        <x:v>0.3576388888888889</x:v>
      </x:c>
      <x:c r="E131" s="27" t="n">
        <x:v>0.40625</x:v>
      </x:c>
      <x:c r="F131" t="str">
        <x:v>INBOUND-028</x:v>
      </x:c>
      <x:c r="G131" t="n">
        <x:v>41</x:v>
      </x:c>
    </x:row>
    <x:row r="132">
      <x:c r="A132" t="str">
        <x:v>V15</x:v>
      </x:c>
      <x:c r="B132" t="str">
        <x:v>INBOUND-028</x:v>
      </x:c>
      <x:c r="C132" t="str">
        <x:v>inbound</x:v>
      </x:c>
      <x:c r="D132" s="27" t="n">
        <x:v>0.43472222222222223</x:v>
      </x:c>
      <x:c r="E132" s="27" t="n">
        <x:v>0.48333333333333334</x:v>
      </x:c>
      <x:c r="F132" t="str">
        <x:v>OUTBOUND-036</x:v>
      </x:c>
      <x:c r="G132" t="n">
        <x:v>21</x:v>
      </x:c>
    </x:row>
    <x:row r="133">
      <x:c r="A133" t="str">
        <x:v>V15</x:v>
      </x:c>
      <x:c r="B133" t="str">
        <x:v>OUTBOUND-036</x:v>
      </x:c>
      <x:c r="C133" t="str">
        <x:v>outbound</x:v>
      </x:c>
      <x:c r="D133" s="27" t="n">
        <x:v>0.4979166666666667</x:v>
      </x:c>
      <x:c r="E133" s="27" t="n">
        <x:v>0.5465277777777777</x:v>
      </x:c>
      <x:c r="F133" t="str">
        <x:v>INBOUND-045</x:v>
      </x:c>
      <x:c r="G133" t="n">
        <x:v>44</x:v>
      </x:c>
    </x:row>
    <x:row r="134">
      <x:c r="A134" t="str">
        <x:v>V15</x:v>
      </x:c>
      <x:c r="B134" t="str">
        <x:v>INBOUND-045</x:v>
      </x:c>
      <x:c r="C134" t="str">
        <x:v>inbound</x:v>
      </x:c>
      <x:c r="D134" s="27" t="n">
        <x:v>0.5770833333333333</x:v>
      </x:c>
      <x:c r="E134" s="27" t="n">
        <x:v>0.6256944444444444</x:v>
      </x:c>
      <x:c r="F134" t="str">
        <x:v>OUTBOUND-053</x:v>
      </x:c>
      <x:c r="G134" t="n">
        <x:v>66</x:v>
      </x:c>
    </x:row>
    <x:row r="135">
      <x:c r="A135" t="str">
        <x:v>V15</x:v>
      </x:c>
      <x:c r="B135" t="str">
        <x:v>OUTBOUND-053</x:v>
      </x:c>
      <x:c r="C135" t="str">
        <x:v>outbound</x:v>
      </x:c>
      <x:c r="D135" s="27" t="n">
        <x:v>0.6715277777777777</x:v>
      </x:c>
      <x:c r="E135" s="27" t="n">
        <x:v>0.7201388888888889</x:v>
      </x:c>
      <x:c r="F135" t="str">
        <x:v>INBOUND-064</x:v>
      </x:c>
      <x:c r="G135" t="n">
        <x:v>13</x:v>
      </x:c>
    </x:row>
    <x:row r="136">
      <x:c r="A136" t="str">
        <x:v>V15</x:v>
      </x:c>
      <x:c r="B136" t="str">
        <x:v>INBOUND-064</x:v>
      </x:c>
      <x:c r="C136" t="str">
        <x:v>inbound</x:v>
      </x:c>
      <x:c r="D136" s="27" t="n">
        <x:v>0.7291666666666666</x:v>
      </x:c>
      <x:c r="E136" s="27" t="n">
        <x:v>0.7777777777777778</x:v>
      </x:c>
      <x:c r="F136" t="str">
        <x:v>OUTBOUND-072</x:v>
      </x:c>
      <x:c r="G136" t="n">
        <x:v>50</x:v>
      </x:c>
    </x:row>
    <x:row r="137">
      <x:c r="A137" t="str">
        <x:v>V15</x:v>
      </x:c>
      <x:c r="B137" t="str">
        <x:v>OUTBOUND-072</x:v>
      </x:c>
      <x:c r="C137" t="str">
        <x:v>outbound</x:v>
      </x:c>
      <x:c r="D137" s="27" t="n">
        <x:v>0.8125</x:v>
      </x:c>
      <x:c r="E137" s="27" t="n">
        <x:v>0.8611111111111112</x:v>
      </x:c>
      <x:c r="F137"/>
      <x:c r="G137"/>
    </x:row>
    <x:row r="138">
      <x:c r="A138" t="str">
        <x:v>V16</x:v>
      </x:c>
      <x:c r="B138" t="str">
        <x:v>OUTBOUND-012</x:v>
      </x:c>
      <x:c r="C138" t="str">
        <x:v>outbound</x:v>
      </x:c>
      <x:c r="D138" s="27" t="n">
        <x:v>0.29791666666666666</x:v>
      </x:c>
      <x:c r="E138" s="27" t="n">
        <x:v>0.34652777777777777</x:v>
      </x:c>
      <x:c r="F138" t="str">
        <x:v>INBOUND-021</x:v>
      </x:c>
      <x:c r="G138" t="n">
        <x:v>29</x:v>
      </x:c>
    </x:row>
    <x:row r="139">
      <x:c r="A139" t="str">
        <x:v>V16</x:v>
      </x:c>
      <x:c r="B139" t="str">
        <x:v>INBOUND-021</x:v>
      </x:c>
      <x:c r="C139" t="str">
        <x:v>inbound</x:v>
      </x:c>
      <x:c r="D139" s="27" t="n">
        <x:v>0.36666666666666664</x:v>
      </x:c>
      <x:c r="E139" s="27" t="n">
        <x:v>0.4152777777777778</x:v>
      </x:c>
      <x:c r="F139" t="str">
        <x:v>OUTBOUND-029</x:v>
      </x:c>
      <x:c r="G139" t="n">
        <x:v>49</x:v>
      </x:c>
    </x:row>
    <x:row r="140">
      <x:c r="A140" t="str">
        <x:v>V16</x:v>
      </x:c>
      <x:c r="B140" t="str">
        <x:v>OUTBOUND-029</x:v>
      </x:c>
      <x:c r="C140" t="str">
        <x:v>outbound</x:v>
      </x:c>
      <x:c r="D140" s="27" t="n">
        <x:v>0.44930555555555557</x:v>
      </x:c>
      <x:c r="E140" s="27" t="n">
        <x:v>0.4979166666666667</x:v>
      </x:c>
      <x:c r="F140" t="str">
        <x:v>INBOUND-038</x:v>
      </x:c>
      <x:c r="G140" t="n">
        <x:v>9</x:v>
      </x:c>
    </x:row>
    <x:row r="141">
      <x:c r="A141" t="str">
        <x:v>V16</x:v>
      </x:c>
      <x:c r="B141" t="str">
        <x:v>INBOUND-038</x:v>
      </x:c>
      <x:c r="C141" t="str">
        <x:v>inbound</x:v>
      </x:c>
      <x:c r="D141" s="27" t="n">
        <x:v>0.5041666666666667</x:v>
      </x:c>
      <x:c r="E141" s="27" t="n">
        <x:v>0.5527777777777778</x:v>
      </x:c>
      <x:c r="F141" t="str">
        <x:v>OUTBOUND-046</x:v>
      </x:c>
      <x:c r="G141" t="n">
        <x:v>66</x:v>
      </x:c>
    </x:row>
    <x:row r="142">
      <x:c r="A142" t="str">
        <x:v>V16</x:v>
      </x:c>
      <x:c r="B142" t="str">
        <x:v>OUTBOUND-046</x:v>
      </x:c>
      <x:c r="C142" t="str">
        <x:v>outbound</x:v>
      </x:c>
      <x:c r="D142" s="27" t="n">
        <x:v>0.5986111111111111</x:v>
      </x:c>
      <x:c r="E142" s="27" t="n">
        <x:v>0.6472222222222223</x:v>
      </x:c>
      <x:c r="F142" t="str">
        <x:v>INBOUND-055</x:v>
      </x:c>
      <x:c r="G142" t="n">
        <x:v>37</x:v>
      </x:c>
    </x:row>
    <x:row r="143">
      <x:c r="A143" t="str">
        <x:v>V16</x:v>
      </x:c>
      <x:c r="B143" t="str">
        <x:v>INBOUND-055</x:v>
      </x:c>
      <x:c r="C143" t="str">
        <x:v>inbound</x:v>
      </x:c>
      <x:c r="D143" s="27" t="n">
        <x:v>0.6729166666666667</x:v>
      </x:c>
      <x:c r="E143" s="27" t="n">
        <x:v>0.7215277777777778</x:v>
      </x:c>
      <x:c r="F143" t="str">
        <x:v>OUTBOUND-063</x:v>
      </x:c>
      <x:c r="G143" t="n">
        <x:v>8</x:v>
      </x:c>
    </x:row>
    <x:row r="144">
      <x:c r="A144" t="str">
        <x:v>V16</x:v>
      </x:c>
      <x:c r="B144" t="str">
        <x:v>OUTBOUND-063</x:v>
      </x:c>
      <x:c r="C144" t="str">
        <x:v>outbound</x:v>
      </x:c>
      <x:c r="D144" s="27" t="n">
        <x:v>0.7270833333333333</x:v>
      </x:c>
      <x:c r="E144" s="27" t="n">
        <x:v>0.7756944444444445</x:v>
      </x:c>
      <x:c r="F144" t="str">
        <x:v>INBOUND-074</x:v>
      </x:c>
      <x:c r="G144" t="n">
        <x:v>83</x:v>
      </x:c>
    </x:row>
    <x:row r="145">
      <x:c r="A145" t="str">
        <x:v>V16</x:v>
      </x:c>
      <x:c r="B145" t="str">
        <x:v>INBOUND-074</x:v>
      </x:c>
      <x:c r="C145" t="str">
        <x:v>inbound</x:v>
      </x:c>
      <x:c r="D145" s="27" t="n">
        <x:v>0.8333333333333334</x:v>
      </x:c>
      <x:c r="E145" s="27" t="n">
        <x:v>0.8819444444444444</x:v>
      </x:c>
      <x:c r="F145"/>
      <x:c r="G145"/>
    </x:row>
    <x:row r="146">
      <x:c r="A146" t="str">
        <x:v>V17</x:v>
      </x:c>
      <x:c r="B146" t="str">
        <x:v>INBOUND-013</x:v>
      </x:c>
      <x:c r="C146" t="str">
        <x:v>inbound</x:v>
      </x:c>
      <x:c r="D146" s="27" t="n">
        <x:v>0.29930555555555555</x:v>
      </x:c>
      <x:c r="E146" s="27" t="n">
        <x:v>0.34791666666666665</x:v>
      </x:c>
      <x:c r="F146" t="str">
        <x:v>OUTBOUND-021</x:v>
      </x:c>
      <x:c r="G146" t="n">
        <x:v>42</x:v>
      </x:c>
    </x:row>
    <x:row r="147">
      <x:c r="A147" t="str">
        <x:v>V17</x:v>
      </x:c>
      <x:c r="B147" t="str">
        <x:v>OUTBOUND-021</x:v>
      </x:c>
      <x:c r="C147" t="str">
        <x:v>outbound</x:v>
      </x:c>
      <x:c r="D147" s="27" t="n">
        <x:v>0.3770833333333333</x:v>
      </x:c>
      <x:c r="E147" s="27" t="n">
        <x:v>0.42569444444444443</x:v>
      </x:c>
      <x:c r="F147" t="str">
        <x:v>INBOUND-030</x:v>
      </x:c>
      <x:c r="G147" t="n">
        <x:v>33</x:v>
      </x:c>
    </x:row>
    <x:row r="148">
      <x:c r="A148" t="str">
        <x:v>V17</x:v>
      </x:c>
      <x:c r="B148" t="str">
        <x:v>INBOUND-030</x:v>
      </x:c>
      <x:c r="C148" t="str">
        <x:v>inbound</x:v>
      </x:c>
      <x:c r="D148" s="27" t="n">
        <x:v>0.4486111111111111</x:v>
      </x:c>
      <x:c r="E148" s="27" t="n">
        <x:v>0.49722222222222223</x:v>
      </x:c>
      <x:c r="F148" t="str">
        <x:v>OUTBOUND-038</x:v>
      </x:c>
      <x:c r="G148" t="n">
        <x:v>26</x:v>
      </x:c>
    </x:row>
    <x:row r="149">
      <x:c r="A149" t="str">
        <x:v>V17</x:v>
      </x:c>
      <x:c r="B149" t="str">
        <x:v>OUTBOUND-038</x:v>
      </x:c>
      <x:c r="C149" t="str">
        <x:v>outbound</x:v>
      </x:c>
      <x:c r="D149" s="27" t="n">
        <x:v>0.5152777777777777</x:v>
      </x:c>
      <x:c r="E149" s="27" t="n">
        <x:v>0.5638888888888889</x:v>
      </x:c>
      <x:c r="F149" t="str">
        <x:v>INBOUND-047</x:v>
      </x:c>
      <x:c r="G149" t="n">
        <x:v>49</x:v>
      </x:c>
    </x:row>
    <x:row r="150">
      <x:c r="A150" t="str">
        <x:v>V17</x:v>
      </x:c>
      <x:c r="B150" t="str">
        <x:v>INBOUND-047</x:v>
      </x:c>
      <x:c r="C150" t="str">
        <x:v>inbound</x:v>
      </x:c>
      <x:c r="D150" s="27" t="n">
        <x:v>0.5979166666666667</x:v>
      </x:c>
      <x:c r="E150" s="27" t="n">
        <x:v>0.6465277777777778</x:v>
      </x:c>
      <x:c r="F150" t="str">
        <x:v>OUTBOUND-055</x:v>
      </x:c>
      <x:c r="G150" t="n">
        <x:v>52</x:v>
      </x:c>
    </x:row>
    <x:row r="151">
      <x:c r="A151" t="str">
        <x:v>V17</x:v>
      </x:c>
      <x:c r="B151" t="str">
        <x:v>OUTBOUND-055</x:v>
      </x:c>
      <x:c r="C151" t="str">
        <x:v>outbound</x:v>
      </x:c>
      <x:c r="D151" s="27" t="n">
        <x:v>0.6826388888888889</x:v>
      </x:c>
      <x:c r="E151" s="27" t="n">
        <x:v>0.73125</x:v>
      </x:c>
      <x:c r="F151" t="str">
        <x:v>INBOUND-066</x:v>
      </x:c>
      <x:c r="G151" t="n">
        <x:v>27</x:v>
      </x:c>
    </x:row>
    <x:row r="152">
      <x:c r="A152" t="str">
        <x:v>V17</x:v>
      </x:c>
      <x:c r="B152" t="str">
        <x:v>INBOUND-066</x:v>
      </x:c>
      <x:c r="C152" t="str">
        <x:v>inbound</x:v>
      </x:c>
      <x:c r="D152" s="27" t="n">
        <x:v>0.75</x:v>
      </x:c>
      <x:c r="E152" s="27" t="n">
        <x:v>0.7986111111111112</x:v>
      </x:c>
      <x:c r="F152" t="str">
        <x:v>OUTBOUND-074</x:v>
      </x:c>
      <x:c r="G152" t="n">
        <x:v>50</x:v>
      </x:c>
    </x:row>
    <x:row r="153">
      <x:c r="A153" t="str">
        <x:v>V17</x:v>
      </x:c>
      <x:c r="B153" t="str">
        <x:v>OUTBOUND-074</x:v>
      </x:c>
      <x:c r="C153" t="str">
        <x:v>outbound</x:v>
      </x:c>
      <x:c r="D153" s="27" t="n">
        <x:v>0.8333333333333334</x:v>
      </x:c>
      <x:c r="E153" s="27" t="n">
        <x:v>0.8819444444444444</x:v>
      </x:c>
      <x:c r="F153"/>
      <x:c r="G153"/>
    </x:row>
    <x:row r="154">
      <x:c r="A154" t="str">
        <x:v>V18</x:v>
      </x:c>
      <x:c r="B154" t="str">
        <x:v>INBOUND-061</x:v>
      </x:c>
      <x:c r="C154" t="str">
        <x:v>inbound</x:v>
      </x:c>
      <x:c r="D154" s="27" t="n">
        <x:v>0.7104166666666667</x:v>
      </x:c>
      <x:c r="E154" s="27" t="n">
        <x:v>0.7590277777777777</x:v>
      </x:c>
      <x:c r="F154" t="str">
        <x:v>OUTBOUND-069</x:v>
      </x:c>
      <x:c r="G154" t="n">
        <x:v>32</x:v>
      </x:c>
    </x:row>
    <x:row r="155">
      <x:c r="A155" t="str">
        <x:v>V18</x:v>
      </x:c>
      <x:c r="B155" t="str">
        <x:v>OUTBOUND-069</x:v>
      </x:c>
      <x:c r="C155" t="str">
        <x:v>outbound</x:v>
      </x:c>
      <x:c r="D155" s="27" t="n">
        <x:v>0.78125</x:v>
      </x:c>
      <x:c r="E155" s="27" t="n">
        <x:v>0.8298611111111112</x:v>
      </x:c>
      <x:c r="F155"/>
      <x:c r="G155"/>
    </x:row>
    <x:row r="156">
      <x:c r="A156" t="str">
        <x:v>V19</x:v>
      </x:c>
      <x:c r="B156" t="str">
        <x:v>INBOUND-063</x:v>
      </x:c>
      <x:c r="C156" t="str">
        <x:v>inbound</x:v>
      </x:c>
      <x:c r="D156" s="27" t="n">
        <x:v>0.7229166666666667</x:v>
      </x:c>
      <x:c r="E156" s="27" t="n">
        <x:v>0.7715277777777778</x:v>
      </x:c>
      <x:c r="F156" t="str">
        <x:v>OUTBOUND-071</x:v>
      </x:c>
      <x:c r="G156" t="n">
        <x:v>44</x:v>
      </x:c>
    </x:row>
    <x:row r="157">
      <x:c r="A157" t="str">
        <x:v>V19</x:v>
      </x:c>
      <x:c r="B157" t="str">
        <x:v>OUTBOUND-071</x:v>
      </x:c>
      <x:c r="C157" t="str">
        <x:v>outbound</x:v>
      </x:c>
      <x:c r="D157" s="27" t="n">
        <x:v>0.8020833333333334</x:v>
      </x:c>
      <x:c r="E157" s="27" t="n">
        <x:v>0.8506944444444444</x:v>
      </x:c>
      <x:c r="F157"/>
      <x:c r="G157"/>
    </x:row>
  </x:sheetData>
  <x:pageMargins left="0.7" right="0.7" top="0.75" bottom="0.75" header="0.3" footer="0.3"/>
  <x:tableParts count="1">
    <x:tablePart xmlns:r="http://schemas.openxmlformats.org/officeDocument/2006/relationships" r:id="R7f1f72e9546548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22" hidden="0" customWidth="1"/>
    <x:col min="4" max="4" width="15" hidden="0" customWidth="1"/>
    <x:col min="5" max="5" width="15" hidden="0" customWidth="1"/>
    <x:col min="6" max="6" width="14" hidden="0" customWidth="1"/>
    <x:col min="7" max="7" width="20" hidden="0" customWidth="1"/>
    <x:col min="8" max="8" width="14" hidden="0" customWidth="1"/>
    <x:col min="9" max="9" width="17" hidden="0" customWidth="1"/>
    <x:col min="10" max="10" width="14" hidden="0" customWidth="1"/>
    <x:col min="11" max="11" width="24" hidden="0" customWidth="1"/>
    <x:col min="12" max="12" width="27" hidden="0" customWidth="1"/>
    <x:col min="13" max="13" width="24" hidden="0" customWidth="1"/>
    <x:col min="14" max="14" width="23" hidden="0" customWidth="1"/>
    <x:col min="15" max="15" width="78" hidden="0" customWidth="1"/>
  </x:cols>
  <x:sheetData>
    <x:row r="1">
      <x:c r="A1" s="24" t="str">
        <x:v>Case</x:v>
      </x:c>
      <x:c r="B1" s="25" t="str">
        <x:v>Runtime_min</x:v>
      </x:c>
      <x:c r="C1" s="25" t="str">
        <x:v>Minimum_layover_min</x:v>
      </x:c>
      <x:c r="D1" s="25" t="str">
        <x:v>Fleet_ceiling</x:v>
      </x:c>
      <x:c r="E1" s="25" t="str">
        <x:v>Fleet_required</x:v>
      </x:c>
      <x:c r="F1" s="25" t="str">
        <x:v>Fleet_margin</x:v>
      </x:c>
      <x:c r="G1" s="25" t="str">
        <x:v>Timetable_changed</x:v>
      </x:c>
      <x:c r="H1" s="25" t="str">
        <x:v>Trips_shifted</x:v>
      </x:c>
      <x:c r="I1" s="25" t="str">
        <x:v>Expected_wait</x:v>
      </x:c>
      <x:c r="J1" s="25" t="str">
        <x:v>Mismatch</x:v>
      </x:c>
      <x:c r="K1" s="25" t="str">
        <x:v>Min_connection_layover</x:v>
      </x:c>
      <x:c r="L1" s="25" t="str">
        <x:v>Median_connection_layover</x:v>
      </x:c>
      <x:c r="M1" s="25" t="str">
        <x:v>Max_connection_layover</x:v>
      </x:c>
      <x:c r="N1" s="25" t="str">
        <x:v>All_connections_pass</x:v>
      </x:c>
      <x:c r="O1" s="26" t="str">
        <x:v>Interpretation</x:v>
      </x:c>
    </x:row>
    <x:row r="2">
      <x:c r="A2" t="str">
        <x:v>Official baseline</x:v>
      </x:c>
      <x:c r="B2" t="n">
        <x:v>70</x:v>
      </x:c>
      <x:c r="C2" t="n">
        <x:v>5</x:v>
      </x:c>
      <x:c r="D2" t="n">
        <x:v>20</x:v>
      </x:c>
      <x:c r="E2" t="n">
        <x:v>19</x:v>
      </x:c>
      <x:c r="F2" t="n">
        <x:v>1</x:v>
      </x:c>
      <x:c r="G2" t="str">
        <x:v>No</x:v>
      </x:c>
      <x:c r="H2" t="n">
        <x:v>0</x:v>
      </x:c>
      <x:c r="I2" s="39" t="n">
        <x:v>6.043783393326659</x:v>
      </x:c>
      <x:c r="J2" s="39" t="n">
        <x:v>0.007197180311487441</x:v>
      </x:c>
      <x:c r="K2" t="n">
        <x:v>5</x:v>
      </x:c>
      <x:c r="L2" t="n">
        <x:v>37</x:v>
      </x:c>
      <x:c r="M2" t="n">
        <x:v>93</x:v>
      </x:c>
      <x:c r="N2" t="str">
        <x:v>Yes</x:v>
      </x:c>
      <x:c r="O2" s="40" t="str">
        <x:v>Official production authority: 5-minute minimum layover; 19 vehicles required.</x:v>
      </x:c>
    </x:row>
    <x:row r="3">
      <x:c r="A3" t="str">
        <x:v>Sensitivity</x:v>
      </x:c>
      <x:c r="B3" t="n">
        <x:v>70</x:v>
      </x:c>
      <x:c r="C3" t="n">
        <x:v>10</x:v>
      </x:c>
      <x:c r="D3" t="n">
        <x:v>20</x:v>
      </x:c>
      <x:c r="E3" t="n">
        <x:v>20</x:v>
      </x:c>
      <x:c r="F3" t="n">
        <x:v>0</x:v>
      </x:c>
      <x:c r="G3" t="str">
        <x:v>No</x:v>
      </x:c>
      <x:c r="H3" t="n">
        <x:v>0</x:v>
      </x:c>
      <x:c r="I3" s="39" t="n">
        <x:v>6.043783393326659</x:v>
      </x:c>
      <x:c r="J3" s="39" t="n">
        <x:v>0.007197180311487441</x:v>
      </x:c>
      <x:c r="K3" t="n">
        <x:v>10</x:v>
      </x:c>
      <x:c r="L3" t="n">
        <x:v>41.5</x:v>
      </x:c>
      <x:c r="M3" t="n">
        <x:v>93</x:v>
      </x:c>
      <x:c r="N3" t="str">
        <x:v>Yes</x:v>
      </x:c>
      <x:c r="O3" s="40" t="str">
        <x:v>The selected timetable remains exactly feasible at 10-minute minimum layover, but uses the full 20-vehicle ceiling.</x:v>
      </x:c>
    </x:row>
  </x:sheetData>
  <x:pageMargins left="0.7" right="0.7" top="0.75" bottom="0.75" header="0.3" footer="0.3"/>
  <x:tableParts count="1">
    <x:tablePart xmlns:r="http://schemas.openxmlformats.org/officeDocument/2006/relationships" r:id="Rc5633097f2694764"/>
  </x:tableParts>
</x:worksheet>
</file>