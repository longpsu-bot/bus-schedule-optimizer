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b4eef5d93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ae688631c14267"/>
    <x:sheet xmlns:r="http://schemas.openxmlformats.org/officeDocument/2006/relationships" name="Timetable" sheetId="2" r:id="R57de51e048e545e7"/>
    <x:sheet xmlns:r="http://schemas.openxmlformats.org/officeDocument/2006/relationships" name="ServiceRegimes" sheetId="3" r:id="R486bb39481174400"/>
    <x:sheet xmlns:r="http://schemas.openxmlformats.org/officeDocument/2006/relationships" name="Demand_Comparison" sheetId="4" r:id="Rdb67c2a31faa461c"/>
    <x:sheet xmlns:r="http://schemas.openxmlformats.org/officeDocument/2006/relationships" name="Comparison" sheetId="5" r:id="R533afc5bae6541d3"/>
    <x:sheet xmlns:r="http://schemas.openxmlformats.org/officeDocument/2006/relationships" name="Fleet_Plan" sheetId="6" r:id="R5893ac6441e7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hh:mm"/>
    <x:numFmt numFmtId="201" formatCode="0.000000000"/>
    <x:numFmt numFmtId="202" formatCode="0.000000"/>
    <x:numFmt numFmtId="203" formatCode="0.00"/>
    <x:numFmt numFmtId="204" formatCode="0.0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4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add58df954ec7" /><Relationship Type="http://schemas.openxmlformats.org/officeDocument/2006/relationships/theme" Target="/xl/theme/theme1.xml" Id="R59e984e32d494651" /><Relationship Type="http://schemas.openxmlformats.org/officeDocument/2006/relationships/sharedStrings" Target="/xl/sharedStrings.xml" Id="Rcf94da2031ed4e1a" /><Relationship Type="http://schemas.openxmlformats.org/officeDocument/2006/relationships/worksheet" Target="/xl/worksheets/sheet1.xml" Id="R02ae688631c14267" /><Relationship Type="http://schemas.openxmlformats.org/officeDocument/2006/relationships/worksheet" Target="/xl/worksheets/sheet2.xml" Id="R57de51e048e545e7" /><Relationship Type="http://schemas.openxmlformats.org/officeDocument/2006/relationships/worksheet" Target="/xl/worksheets/sheet3.xml" Id="R486bb39481174400" /><Relationship Type="http://schemas.openxmlformats.org/officeDocument/2006/relationships/worksheet" Target="/xl/worksheets/sheet4.xml" Id="Rdb67c2a31faa461c" /><Relationship Type="http://schemas.openxmlformats.org/officeDocument/2006/relationships/worksheet" Target="/xl/worksheets/sheet5.xml" Id="R533afc5bae6541d3" /><Relationship Type="http://schemas.openxmlformats.org/officeDocument/2006/relationships/worksheet" Target="/xl/worksheets/sheet6.xml" Id="R5893ac6441e744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4d6f0969464c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Observed demand vs current and Final V2 service shares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Observed demand profile</c:v>
          </c:tx>
          <c:marker>
            <c:symbol val="none"/>
          </c:marker>
          <c:cat>
            <c:strRef>
              <c:f>'Demand_Comparison'!$K$26:$K$93</c:f>
              <c:strCache>
                <c:ptCount val="0"/>
              </c:strCache>
            </c:strRef>
          </c:cat>
          <c:val>
            <c:numRef>
              <c:f>'Demand_Comparison'!$L$26:$L$93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Scenario B/current service</c:v>
          </c:tx>
          <c:marker>
            <c:symbol val="none"/>
          </c:marker>
          <c:cat>
            <c:strRef>
              <c:f>'Demand_Comparison'!$K$26:$K$93</c:f>
              <c:strCache>
                <c:ptCount val="0"/>
              </c:strCache>
            </c:strRef>
          </c:cat>
          <c:val>
            <c:numRef>
              <c:f>'Demand_Comparison'!$M$26:$M$93</c:f>
              <c:numCache>
                <c:formatCode>0.00%</c:formatCode>
                <c:ptCount val="0"/>
              </c:numCache>
            </c:numRef>
          </c:val>
          <c:smooth val="0"/>
        </c:ser>
        <c:ser>
          <c:idx val="2"/>
          <c:order val="2"/>
          <c:tx>
            <c:v>Final V2 service</c:v>
          </c:tx>
          <c:marker>
            <c:symbol val="none"/>
          </c:marker>
          <c:cat>
            <c:strRef>
              <c:f>'Demand_Comparison'!$K$26:$K$93</c:f>
              <c:strCache>
                <c:ptCount val="0"/>
              </c:strCache>
            </c:strRef>
          </c:cat>
          <c:val>
            <c:numRef>
              <c:f>'Demand_Comparison'!$N$26:$N$93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4d6f0969464c5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ute10POutboundTimetable" displayName="Route10POutboundTimetable" ref="A1:D52" headerRowCount="1" totalsRowCount="0" totalsRowShown="0">
  <x:autoFilter ref="A1:D52"/>
  <x:tableColumns count="4">
    <x:tableColumn id="1" name="Sequence"/>
    <x:tableColumn id="2" name="Departure"/>
    <x:tableColumn id="3" name="ServiceRegime"/>
    <x:tableColumn id="4" name="Headway from previous (min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te10PInboundTimetable" displayName="Route10PInboundTimetable" ref="F1:I52" headerRowCount="1" totalsRowCount="0" totalsRowShown="0">
  <x:autoFilter ref="F1:I52"/>
  <x:tableColumns count="4">
    <x:tableColumn id="1" name="Sequence"/>
    <x:tableColumn id="2" name="Departure"/>
    <x:tableColumn id="3" name="ServiceRegime"/>
    <x:tableColumn id="4" name="Headway from previous (mi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10PServiceRegimes" displayName="Route10PServiceRegimes" ref="A1:G12" headerRowCount="1" totalsRowCount="0" totalsRowShown="0">
  <x:autoFilter ref="A1:G12"/>
  <x:tableColumns count="7">
    <x:tableColumn id="1" name="Direction"/>
    <x:tableColumn id="2" name="ServiceRegime ID"/>
    <x:tableColumn id="3" name="First departure"/>
    <x:tableColumn id="4" name="Last departure"/>
    <x:tableColumn id="5" name="Uniform headway (min)"/>
    <x:tableColumn id="6" name="Trip count"/>
    <x:tableColumn id="7" name="Source DemandRegime evidence 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ute10PDemandComparison" displayName="Route10PDemandComparison" ref="A1:I69" headerRowCount="1" totalsRowCount="0" totalsRowShown="0">
  <x:autoFilter ref="A1:I69"/>
  <x:tableColumns count="9">
    <x:tableColumn id="1" name="Direction"/>
    <x:tableColumn id="2" name="Start"/>
    <x:tableColumn id="3" name="End"/>
    <x:tableColumn id="4" name="Observed demand"/>
    <x:tableColumn id="5" name="Scenario B/current service count"/>
    <x:tableColumn id="6" name="Final V2 service count"/>
    <x:tableColumn id="7" name="Demand share"/>
    <x:tableColumn id="8" name="Scenario B service share"/>
    <x:tableColumn id="9" name="Final V2 service sha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ute10PComparison" displayName="Route10PComparison" ref="A1:D17" headerRowCount="1" totalsRowCount="0" totalsRowShown="0">
  <x:autoFilter ref="A1:D17"/>
  <x:tableColumns count="4">
    <x:tableColumn id="1" name="Metric"/>
    <x:tableColumn id="2" name="Scenario B/current"/>
    <x:tableColumn id="3" name="Final V2 selected"/>
    <x:tableColumn id="4" name="Unit / interpre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oute10PFleetPlan" displayName="Route10PFleetPlan" ref="A1:G103" headerRowCount="1" totalsRowCount="0" totalsRowShown="0">
  <x:autoFilter ref="A1:G103"/>
  <x:tableColumns count="7">
    <x:tableColumn id="1" name="Vehicle"/>
    <x:tableColumn id="2" name="Trip"/>
    <x:tableColumn id="3" name="Direction"/>
    <x:tableColumn id="4" name="Departure"/>
    <x:tableColumn id="5" name="Arrival"/>
    <x:tableColumn id="6" name="Next trip"/>
    <x:tableColumn id="7" name="Connection layover (m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ee63ad89cf492c" /><Relationship Type="http://schemas.openxmlformats.org/officeDocument/2006/relationships/table" Target="/xl/tables/table2.xml" Id="R5c19d4a84cf44f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43b0b03eb344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0a12a7ac428435d" /><Relationship Type="http://schemas.openxmlformats.org/officeDocument/2006/relationships/table" Target="/xl/tables/table4.xml" Id="R62a69b7b3b534a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9c42bbd0b8646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bd328c680a240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92" hidden="0" customWidth="1"/>
  </x:cols>
  <x:sheetData>
    <x:row r="1" ht="30" customHeight="1">
      <x:c r="A1" s="3" t="str">
        <x:v>Route 10 — Final V2 Recertified Pilot Timetable</x:v>
      </x:c>
      <x:c r="B1" s="3"/>
    </x:row>
    <x:row r="3">
      <x:c r="A3" s="6" t="str">
        <x:v>Route</x:v>
      </x:c>
      <x:c r="B3" s="7" t="str">
        <x:v>10</x:v>
      </x:c>
    </x:row>
    <x:row r="4">
      <x:c r="A4" s="6" t="str">
        <x:v>Certification status</x:v>
      </x:c>
      <x:c r="B4" s="7" t="str">
        <x:v>PILOT_FINAL_RECERTIFIED_V2</x:v>
      </x:c>
    </x:row>
    <x:row r="5">
      <x:c r="A5" s="6" t="str">
        <x:v>Selection policy</x:v>
      </x:c>
      <x:c r="B5" s="11" t="str">
        <x:v>one_trip_te_materiality_operational_selector_v2</x:v>
      </x:c>
    </x:row>
    <x:row r="6">
      <x:c r="A6" s="6" t="str">
        <x:v>Selected pair fingerprint</x:v>
      </x:c>
      <x:c r="B6" s="11" t="str">
        <x:v>e76426dc2e4420d7f826c939f40d5fb1ea3414744bba3a1a379eb19bc9d4cb24</x:v>
      </x:c>
    </x:row>
    <x:row r="7">
      <x:c r="A7" s="6" t="str">
        <x:v>Common anchor fingerprint</x:v>
      </x:c>
      <x:c r="B7" s="11" t="str">
        <x:v>bb35aa0cc7221a887be8328d18de289447ef4070fa147820546efad691fb719c</x:v>
      </x:c>
    </x:row>
    <x:row r="8">
      <x:c r="A8" s="6" t="str">
        <x:v>TE materiality band (trip-equivalent)</x:v>
      </x:c>
      <x:c r="B8" s="9" t="n">
        <x:v>1</x:v>
      </x:c>
    </x:row>
    <x:row r="9">
      <x:c r="A9" s="6" t="str">
        <x:v>Selected pair TE</x:v>
      </x:c>
      <x:c r="B9" s="9" t="n">
        <x:v>17.669451511448948</x:v>
      </x:c>
    </x:row>
    <x:row r="10">
      <x:c r="A10" s="6" t="str">
        <x:v>Selected pair SSE</x:v>
      </x:c>
      <x:c r="B10" s="9" t="n">
        <x:v>0.010728881378053444</x:v>
      </x:c>
    </x:row>
    <x:row r="11">
      <x:c r="A11" s="6" t="str">
        <x:v>Trips/day</x:v>
      </x:c>
      <x:c r="B11" s="7" t="n">
        <x:f>B12+B13</x:f>
        <x:v>102</x:v>
      </x:c>
    </x:row>
    <x:row r="12">
      <x:c r="A12" s="6" t="str">
        <x:v>Trips outbound</x:v>
      </x:c>
      <x:c r="B12" s="7" t="n">
        <x:v>51</x:v>
      </x:c>
    </x:row>
    <x:row r="13">
      <x:c r="A13" s="6" t="str">
        <x:v>Trips inbound</x:v>
      </x:c>
      <x:c r="B13" s="7" t="n">
        <x:v>51</x:v>
      </x:c>
    </x:row>
    <x:row r="14">
      <x:c r="A14" s="6" t="str">
        <x:v>First departure outbound</x:v>
      </x:c>
      <x:c r="B14" s="8" t="n">
        <x:v>0.20833333333333334</x:v>
      </x:c>
    </x:row>
    <x:row r="15">
      <x:c r="A15" s="6" t="str">
        <x:v>Last departure outbound</x:v>
      </x:c>
      <x:c r="B15" s="8" t="n">
        <x:v>0.875</x:v>
      </x:c>
    </x:row>
    <x:row r="16">
      <x:c r="A16" s="6" t="str">
        <x:v>First departure inbound</x:v>
      </x:c>
      <x:c r="B16" s="8" t="n">
        <x:v>0.19791666666666666</x:v>
      </x:c>
    </x:row>
    <x:row r="17">
      <x:c r="A17" s="6" t="str">
        <x:v>Last departure inbound</x:v>
      </x:c>
      <x:c r="B17" s="8" t="n">
        <x:v>0.875</x:v>
      </x:c>
    </x:row>
    <x:row r="18">
      <x:c r="A18" s="6" t="str">
        <x:v>Runtime (minutes each direction)</x:v>
      </x:c>
      <x:c r="B18" s="7" t="n">
        <x:v>80</x:v>
      </x:c>
    </x:row>
    <x:row r="19">
      <x:c r="A19" s="6" t="str">
        <x:v>Official minimum layover (minutes)</x:v>
      </x:c>
      <x:c r="B19" s="7" t="n">
        <x:v>5</x:v>
      </x:c>
    </x:row>
    <x:row r="20">
      <x:c r="A20" s="6" t="str">
        <x:v>Fleet ceiling</x:v>
      </x:c>
      <x:c r="B20" s="7" t="n">
        <x:v>13</x:v>
      </x:c>
    </x:row>
    <x:row r="21">
      <x:c r="A21" s="6" t="str">
        <x:v>Fleet required</x:v>
      </x:c>
      <x:c r="B21" s="7" t="n">
        <x:v>12</x:v>
      </x:c>
    </x:row>
    <x:row r="22">
      <x:c r="A22" s="6" t="str">
        <x:v>Fleet spare</x:v>
      </x:c>
      <x:c r="B22" s="7" t="n">
        <x:f>B20-B21</x:f>
        <x:v>1</x:v>
      </x:c>
    </x:row>
    <x:row r="23">
      <x:c r="A23" s="6" t="str">
        <x:v>Average expected passenger wait (minutes)</x:v>
      </x:c>
      <x:c r="B23" s="10" t="n">
        <x:v>9.636890463523153</x:v>
      </x:c>
    </x:row>
    <x:row r="24">
      <x:c r="A24" s="6" t="str">
        <x:v>Outbound maximum bucket wait (minutes)</x:v>
      </x:c>
      <x:c r="B24" s="10" t="n">
        <x:v>12.900000000000002</x:v>
      </x:c>
    </x:row>
    <x:row r="25">
      <x:c r="A25" s="6" t="str">
        <x:v>Inbound maximum bucket wait (minutes)</x:v>
      </x:c>
      <x:c r="B25" s="10" t="n">
        <x:v>14.066666666666666</x:v>
      </x:c>
    </x:row>
    <x:row r="26">
      <x:c r="A26" s="6" t="str">
        <x:v>Maximum directional P90 (minutes)</x:v>
      </x:c>
      <x:c r="B26" s="10" t="n">
        <x:v>11.333333333333334</x:v>
      </x:c>
    </x:row>
    <x:row r="27">
      <x:c r="A27" s="6" t="str">
        <x:v>Actual ServiceRegime count</x:v>
      </x:c>
      <x:c r="B27" s="7" t="n">
        <x:v>11</x:v>
      </x:c>
    </x:row>
    <x:row r="28">
      <x:c r="A28" s="6" t="str">
        <x:v>Sustained headway level count</x:v>
      </x:c>
      <x:c r="B28" s="7" t="n">
        <x:v>9</x:v>
      </x:c>
    </x:row>
    <x:row r="29">
      <x:c r="A29" s="6" t="str">
        <x:v>Effective palette count</x:v>
      </x:c>
      <x:c r="B29" s="7" t="n">
        <x:v>6</x:v>
      </x:c>
    </x:row>
    <x:row r="30">
      <x:c r="A30" s="6" t="str">
        <x:v>Selection classification</x:v>
      </x:c>
      <x:c r="B30" s="11" t="str">
        <x:v>ONE_TRIP_MATERIALITY_SELECTS_SIMPLER_ALTERNATIVE</x:v>
      </x:c>
    </x:row>
    <x:row r="31">
      <x:c r="A31" s="6" t="str">
        <x:v>Settlement used</x:v>
      </x:c>
      <x:c r="B31" s="11" t="str">
        <x:v>No</x:v>
      </x:c>
    </x:row>
    <x:row r="32">
      <x:c r="A32" s="6" t="str">
        <x:v>Certification classification</x:v>
      </x:c>
      <x:c r="B32" s="11" t="str">
        <x:v>FINAL_V2_TIMETABLE_RECERTIFIED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27" hidden="0" customWidth="1"/>
    <x:col min="4" max="4" width="27" hidden="0" customWidth="1"/>
    <x:col min="5" max="5" width="3" hidden="0" customWidth="1"/>
    <x:col min="6" max="6" width="11" hidden="0" customWidth="1"/>
    <x:col min="7" max="7" width="13" hidden="0" customWidth="1"/>
    <x:col min="8" max="8" width="27" hidden="0" customWidth="1"/>
    <x:col min="9" max="9" width="27" hidden="0" customWidth="1"/>
  </x:cols>
  <x:sheetData>
    <x:row r="1">
      <x:c r="A1" s="20" t="str">
        <x:v>Sequence</x:v>
      </x:c>
      <x:c r="B1" s="21" t="str">
        <x:v>Departure</x:v>
      </x:c>
      <x:c r="C1" s="21" t="str">
        <x:v>ServiceRegime</x:v>
      </x:c>
      <x:c r="D1" s="22" t="str">
        <x:v>Headway from previous (min)</x:v>
      </x:c>
      <x:c r="F1" s="20" t="str">
        <x:v>Sequence</x:v>
      </x:c>
      <x:c r="G1" s="21" t="str">
        <x:v>Departure</x:v>
      </x:c>
      <x:c r="H1" s="21" t="str">
        <x:v>ServiceRegime</x:v>
      </x:c>
      <x:c r="I1" s="22" t="str">
        <x:v>Headway from previous (min)</x:v>
      </x:c>
    </x:row>
    <x:row r="2">
      <x:c r="A2" s="4" t="n">
        <x:v>1</x:v>
      </x:c>
      <x:c r="B2" s="24" t="n">
        <x:v>0.20833333333333334</x:v>
      </x:c>
      <x:c r="C2" s="4" t="str">
        <x:v>SERVICE-OUTBOUND-01</x:v>
      </x:c>
      <x:c r="D2" s="4"/>
      <x:c r="F2" s="4" t="n">
        <x:v>1</x:v>
      </x:c>
      <x:c r="G2" s="24" t="n">
        <x:v>0.19791666666666666</x:v>
      </x:c>
      <x:c r="H2" s="4" t="str">
        <x:v>SERVICE-INBOUND-01</x:v>
      </x:c>
      <x:c r="I2" s="4"/>
    </x:row>
    <x:row r="3">
      <x:c r="A3" s="4" t="n">
        <x:v>2</x:v>
      </x:c>
      <x:c r="B3" s="24" t="n">
        <x:v>0.22152777777777777</x:v>
      </x:c>
      <x:c r="C3" s="4" t="str">
        <x:v>SERVICE-OUTBOUND-01</x:v>
      </x:c>
      <x:c r="D3" s="4" t="n">
        <x:v>19</x:v>
      </x:c>
      <x:c r="F3" s="4" t="n">
        <x:v>2</x:v>
      </x:c>
      <x:c r="G3" s="24" t="n">
        <x:v>0.2111111111111111</x:v>
      </x:c>
      <x:c r="H3" s="4" t="str">
        <x:v>SERVICE-INBOUND-01</x:v>
      </x:c>
      <x:c r="I3" s="4" t="n">
        <x:v>19</x:v>
      </x:c>
    </x:row>
    <x:row r="4">
      <x:c r="A4" s="4" t="n">
        <x:v>3</x:v>
      </x:c>
      <x:c r="B4" s="24" t="n">
        <x:v>0.23472222222222222</x:v>
      </x:c>
      <x:c r="C4" s="4" t="str">
        <x:v>SERVICE-OUTBOUND-01</x:v>
      </x:c>
      <x:c r="D4" s="4" t="n">
        <x:v>19</x:v>
      </x:c>
      <x:c r="F4" s="4" t="n">
        <x:v>3</x:v>
      </x:c>
      <x:c r="G4" s="24" t="n">
        <x:v>0.22430555555555556</x:v>
      </x:c>
      <x:c r="H4" s="4" t="str">
        <x:v>SERVICE-INBOUND-01</x:v>
      </x:c>
      <x:c r="I4" s="4" t="n">
        <x:v>19</x:v>
      </x:c>
    </x:row>
    <x:row r="5">
      <x:c r="A5" s="4" t="n">
        <x:v>4</x:v>
      </x:c>
      <x:c r="B5" s="24" t="n">
        <x:v>0.24791666666666667</x:v>
      </x:c>
      <x:c r="C5" s="4" t="str">
        <x:v>SERVICE-OUTBOUND-01</x:v>
      </x:c>
      <x:c r="D5" s="4" t="n">
        <x:v>19</x:v>
      </x:c>
      <x:c r="F5" s="4" t="n">
        <x:v>4</x:v>
      </x:c>
      <x:c r="G5" s="24" t="n">
        <x:v>0.2375</x:v>
      </x:c>
      <x:c r="H5" s="4" t="str">
        <x:v>SERVICE-INBOUND-01</x:v>
      </x:c>
      <x:c r="I5" s="4" t="n">
        <x:v>19</x:v>
      </x:c>
    </x:row>
    <x:row r="6">
      <x:c r="A6" s="4" t="n">
        <x:v>5</x:v>
      </x:c>
      <x:c r="B6" s="24" t="n">
        <x:v>0.2611111111111111</x:v>
      </x:c>
      <x:c r="C6" s="4" t="str">
        <x:v>SERVICE-OUTBOUND-01</x:v>
      </x:c>
      <x:c r="D6" s="4" t="n">
        <x:v>19</x:v>
      </x:c>
      <x:c r="F6" s="4" t="n">
        <x:v>5</x:v>
      </x:c>
      <x:c r="G6" s="24" t="n">
        <x:v>0.25069444444444444</x:v>
      </x:c>
      <x:c r="H6" s="4" t="str">
        <x:v>SERVICE-INBOUND-01</x:v>
      </x:c>
      <x:c r="I6" s="4" t="n">
        <x:v>19</x:v>
      </x:c>
    </x:row>
    <x:row r="7">
      <x:c r="A7" s="25" t="n">
        <x:v>6</x:v>
      </x:c>
      <x:c r="B7" s="26" t="n">
        <x:v>0.2743055555555556</x:v>
      </x:c>
      <x:c r="C7" s="25" t="str">
        <x:v>SERVICE-OUTBOUND-02</x:v>
      </x:c>
      <x:c r="D7" s="25" t="n">
        <x:v>19</x:v>
      </x:c>
      <x:c r="F7" s="4" t="n">
        <x:v>6</x:v>
      </x:c>
      <x:c r="G7" s="24" t="n">
        <x:v>0.2638888888888889</x:v>
      </x:c>
      <x:c r="H7" s="4" t="str">
        <x:v>SERVICE-INBOUND-01</x:v>
      </x:c>
      <x:c r="I7" s="4" t="n">
        <x:v>19</x:v>
      </x:c>
    </x:row>
    <x:row r="8">
      <x:c r="A8" s="25" t="n">
        <x:v>7</x:v>
      </x:c>
      <x:c r="B8" s="26" t="n">
        <x:v>0.28888888888888886</x:v>
      </x:c>
      <x:c r="C8" s="25" t="str">
        <x:v>SERVICE-OUTBOUND-02</x:v>
      </x:c>
      <x:c r="D8" s="25" t="n">
        <x:v>21</x:v>
      </x:c>
      <x:c r="F8" s="4" t="n">
        <x:v>7</x:v>
      </x:c>
      <x:c r="G8" s="24" t="n">
        <x:v>0.27708333333333335</x:v>
      </x:c>
      <x:c r="H8" s="4" t="str">
        <x:v>SERVICE-INBOUND-01</x:v>
      </x:c>
      <x:c r="I8" s="4" t="n">
        <x:v>19</x:v>
      </x:c>
    </x:row>
    <x:row r="9">
      <x:c r="A9" s="25" t="n">
        <x:v>8</x:v>
      </x:c>
      <x:c r="B9" s="26" t="n">
        <x:v>0.3034722222222222</x:v>
      </x:c>
      <x:c r="C9" s="25" t="str">
        <x:v>SERVICE-OUTBOUND-02</x:v>
      </x:c>
      <x:c r="D9" s="25" t="n">
        <x:v>21</x:v>
      </x:c>
      <x:c r="F9" s="4" t="n">
        <x:v>8</x:v>
      </x:c>
      <x:c r="G9" s="24" t="n">
        <x:v>0.2902777777777778</x:v>
      </x:c>
      <x:c r="H9" s="4" t="str">
        <x:v>SERVICE-INBOUND-01</x:v>
      </x:c>
      <x:c r="I9" s="4" t="n">
        <x:v>19</x:v>
      </x:c>
    </x:row>
    <x:row r="10">
      <x:c r="A10" s="25" t="n">
        <x:v>9</x:v>
      </x:c>
      <x:c r="B10" s="26" t="n">
        <x:v>0.31805555555555554</x:v>
      </x:c>
      <x:c r="C10" s="25" t="str">
        <x:v>SERVICE-OUTBOUND-02</x:v>
      </x:c>
      <x:c r="D10" s="25" t="n">
        <x:v>21</x:v>
      </x:c>
      <x:c r="F10" s="4" t="n">
        <x:v>9</x:v>
      </x:c>
      <x:c r="G10" s="24" t="n">
        <x:v>0.3034722222222222</x:v>
      </x:c>
      <x:c r="H10" s="4" t="str">
        <x:v>SERVICE-INBOUND-01</x:v>
      </x:c>
      <x:c r="I10" s="4" t="n">
        <x:v>19</x:v>
      </x:c>
    </x:row>
    <x:row r="11">
      <x:c r="A11" s="25" t="n">
        <x:v>10</x:v>
      </x:c>
      <x:c r="B11" s="26" t="n">
        <x:v>0.3326388888888889</x:v>
      </x:c>
      <x:c r="C11" s="25" t="str">
        <x:v>SERVICE-OUTBOUND-02</x:v>
      </x:c>
      <x:c r="D11" s="25" t="n">
        <x:v>21</x:v>
      </x:c>
      <x:c r="F11" s="4" t="n">
        <x:v>10</x:v>
      </x:c>
      <x:c r="G11" s="24" t="n">
        <x:v>0.31666666666666665</x:v>
      </x:c>
      <x:c r="H11" s="4" t="str">
        <x:v>SERVICE-INBOUND-01</x:v>
      </x:c>
      <x:c r="I11" s="4" t="n">
        <x:v>19</x:v>
      </x:c>
    </x:row>
    <x:row r="12">
      <x:c r="A12" s="27" t="n">
        <x:v>11</x:v>
      </x:c>
      <x:c r="B12" s="28" t="n">
        <x:v>0.34652777777777777</x:v>
      </x:c>
      <x:c r="C12" s="27" t="str">
        <x:v>SERVICE-OUTBOUND-03</x:v>
      </x:c>
      <x:c r="D12" s="27" t="n">
        <x:v>20</x:v>
      </x:c>
      <x:c r="F12" s="4" t="n">
        <x:v>11</x:v>
      </x:c>
      <x:c r="G12" s="24" t="n">
        <x:v>0.3298611111111111</x:v>
      </x:c>
      <x:c r="H12" s="4" t="str">
        <x:v>SERVICE-INBOUND-01</x:v>
      </x:c>
      <x:c r="I12" s="4" t="n">
        <x:v>19</x:v>
      </x:c>
    </x:row>
    <x:row r="13">
      <x:c r="A13" s="27" t="n">
        <x:v>12</x:v>
      </x:c>
      <x:c r="B13" s="28" t="n">
        <x:v>0.36041666666666666</x:v>
      </x:c>
      <x:c r="C13" s="27" t="str">
        <x:v>SERVICE-OUTBOUND-03</x:v>
      </x:c>
      <x:c r="D13" s="27" t="n">
        <x:v>20</x:v>
      </x:c>
      <x:c r="F13" s="4" t="n">
        <x:v>12</x:v>
      </x:c>
      <x:c r="G13" s="24" t="n">
        <x:v>0.34305555555555556</x:v>
      </x:c>
      <x:c r="H13" s="4" t="str">
        <x:v>SERVICE-INBOUND-01</x:v>
      </x:c>
      <x:c r="I13" s="4" t="n">
        <x:v>19</x:v>
      </x:c>
    </x:row>
    <x:row r="14">
      <x:c r="A14" s="27" t="n">
        <x:v>13</x:v>
      </x:c>
      <x:c r="B14" s="28" t="n">
        <x:v>0.37430555555555556</x:v>
      </x:c>
      <x:c r="C14" s="27" t="str">
        <x:v>SERVICE-OUTBOUND-03</x:v>
      </x:c>
      <x:c r="D14" s="27" t="n">
        <x:v>20</x:v>
      </x:c>
      <x:c r="F14" s="4" t="n">
        <x:v>13</x:v>
      </x:c>
      <x:c r="G14" s="24" t="n">
        <x:v>0.35625</x:v>
      </x:c>
      <x:c r="H14" s="4" t="str">
        <x:v>SERVICE-INBOUND-01</x:v>
      </x:c>
      <x:c r="I14" s="4" t="n">
        <x:v>19</x:v>
      </x:c>
    </x:row>
    <x:row r="15">
      <x:c r="A15" s="27" t="n">
        <x:v>14</x:v>
      </x:c>
      <x:c r="B15" s="28" t="n">
        <x:v>0.38819444444444445</x:v>
      </x:c>
      <x:c r="C15" s="27" t="str">
        <x:v>SERVICE-OUTBOUND-03</x:v>
      </x:c>
      <x:c r="D15" s="27" t="n">
        <x:v>20</x:v>
      </x:c>
      <x:c r="F15" s="4" t="n">
        <x:v>14</x:v>
      </x:c>
      <x:c r="G15" s="24" t="n">
        <x:v>0.36944444444444446</x:v>
      </x:c>
      <x:c r="H15" s="4" t="str">
        <x:v>SERVICE-INBOUND-01</x:v>
      </x:c>
      <x:c r="I15" s="4" t="n">
        <x:v>19</x:v>
      </x:c>
    </x:row>
    <x:row r="16">
      <x:c r="A16" s="27" t="n">
        <x:v>15</x:v>
      </x:c>
      <x:c r="B16" s="28" t="n">
        <x:v>0.40208333333333335</x:v>
      </x:c>
      <x:c r="C16" s="27" t="str">
        <x:v>SERVICE-OUTBOUND-03</x:v>
      </x:c>
      <x:c r="D16" s="27" t="n">
        <x:v>20</x:v>
      </x:c>
      <x:c r="F16" s="4" t="n">
        <x:v>15</x:v>
      </x:c>
      <x:c r="G16" s="24" t="n">
        <x:v>0.38263888888888886</x:v>
      </x:c>
      <x:c r="H16" s="4" t="str">
        <x:v>SERVICE-INBOUND-01</x:v>
      </x:c>
      <x:c r="I16" s="4" t="n">
        <x:v>19</x:v>
      </x:c>
    </x:row>
    <x:row r="17">
      <x:c r="A17" s="27" t="n">
        <x:v>16</x:v>
      </x:c>
      <x:c r="B17" s="28" t="n">
        <x:v>0.41597222222222224</x:v>
      </x:c>
      <x:c r="C17" s="27" t="str">
        <x:v>SERVICE-OUTBOUND-03</x:v>
      </x:c>
      <x:c r="D17" s="27" t="n">
        <x:v>20</x:v>
      </x:c>
      <x:c r="F17" s="4" t="n">
        <x:v>16</x:v>
      </x:c>
      <x:c r="G17" s="24" t="n">
        <x:v>0.3958333333333333</x:v>
      </x:c>
      <x:c r="H17" s="4" t="str">
        <x:v>SERVICE-INBOUND-01</x:v>
      </x:c>
      <x:c r="I17" s="4" t="n">
        <x:v>19</x:v>
      </x:c>
    </x:row>
    <x:row r="18">
      <x:c r="A18" s="27" t="n">
        <x:v>17</x:v>
      </x:c>
      <x:c r="B18" s="28" t="n">
        <x:v>0.42986111111111114</x:v>
      </x:c>
      <x:c r="C18" s="27" t="str">
        <x:v>SERVICE-OUTBOUND-03</x:v>
      </x:c>
      <x:c r="D18" s="27" t="n">
        <x:v>20</x:v>
      </x:c>
      <x:c r="F18" s="4" t="n">
        <x:v>17</x:v>
      </x:c>
      <x:c r="G18" s="24" t="n">
        <x:v>0.40902777777777777</x:v>
      </x:c>
      <x:c r="H18" s="4" t="str">
        <x:v>SERVICE-INBOUND-01</x:v>
      </x:c>
      <x:c r="I18" s="4" t="n">
        <x:v>19</x:v>
      </x:c>
    </x:row>
    <x:row r="19">
      <x:c r="A19" s="27" t="n">
        <x:v>18</x:v>
      </x:c>
      <x:c r="B19" s="28" t="n">
        <x:v>0.44375</x:v>
      </x:c>
      <x:c r="C19" s="27" t="str">
        <x:v>SERVICE-OUTBOUND-03</x:v>
      </x:c>
      <x:c r="D19" s="27" t="n">
        <x:v>20</x:v>
      </x:c>
      <x:c r="F19" s="4" t="n">
        <x:v>18</x:v>
      </x:c>
      <x:c r="G19" s="24" t="n">
        <x:v>0.4222222222222222</x:v>
      </x:c>
      <x:c r="H19" s="4" t="str">
        <x:v>SERVICE-INBOUND-01</x:v>
      </x:c>
      <x:c r="I19" s="4" t="n">
        <x:v>19</x:v>
      </x:c>
    </x:row>
    <x:row r="20">
      <x:c r="A20" s="27" t="n">
        <x:v>19</x:v>
      </x:c>
      <x:c r="B20" s="28" t="n">
        <x:v>0.4576388888888889</x:v>
      </x:c>
      <x:c r="C20" s="27" t="str">
        <x:v>SERVICE-OUTBOUND-03</x:v>
      </x:c>
      <x:c r="D20" s="27" t="n">
        <x:v>20</x:v>
      </x:c>
      <x:c r="F20" s="4" t="n">
        <x:v>19</x:v>
      </x:c>
      <x:c r="G20" s="24" t="n">
        <x:v>0.4354166666666667</x:v>
      </x:c>
      <x:c r="H20" s="4" t="str">
        <x:v>SERVICE-INBOUND-01</x:v>
      </x:c>
      <x:c r="I20" s="4" t="n">
        <x:v>19</x:v>
      </x:c>
    </x:row>
    <x:row r="21">
      <x:c r="A21" s="27" t="n">
        <x:v>20</x:v>
      </x:c>
      <x:c r="B21" s="28" t="n">
        <x:v>0.47152777777777777</x:v>
      </x:c>
      <x:c r="C21" s="27" t="str">
        <x:v>SERVICE-OUTBOUND-03</x:v>
      </x:c>
      <x:c r="D21" s="27" t="n">
        <x:v>20</x:v>
      </x:c>
      <x:c r="F21" s="4" t="n">
        <x:v>20</x:v>
      </x:c>
      <x:c r="G21" s="24" t="n">
        <x:v>0.4486111111111111</x:v>
      </x:c>
      <x:c r="H21" s="4" t="str">
        <x:v>SERVICE-INBOUND-01</x:v>
      </x:c>
      <x:c r="I21" s="4" t="n">
        <x:v>19</x:v>
      </x:c>
    </x:row>
    <x:row r="22">
      <x:c r="A22" s="27" t="n">
        <x:v>21</x:v>
      </x:c>
      <x:c r="B22" s="28" t="n">
        <x:v>0.48541666666666666</x:v>
      </x:c>
      <x:c r="C22" s="27" t="str">
        <x:v>SERVICE-OUTBOUND-03</x:v>
      </x:c>
      <x:c r="D22" s="27" t="n">
        <x:v>20</x:v>
      </x:c>
      <x:c r="F22" s="4" t="n">
        <x:v>21</x:v>
      </x:c>
      <x:c r="G22" s="24" t="n">
        <x:v>0.4618055555555556</x:v>
      </x:c>
      <x:c r="H22" s="4" t="str">
        <x:v>SERVICE-INBOUND-01</x:v>
      </x:c>
      <x:c r="I22" s="4" t="n">
        <x:v>19</x:v>
      </x:c>
    </x:row>
    <x:row r="23">
      <x:c r="A23" s="27" t="n">
        <x:v>22</x:v>
      </x:c>
      <x:c r="B23" s="28" t="n">
        <x:v>0.49930555555555556</x:v>
      </x:c>
      <x:c r="C23" s="27" t="str">
        <x:v>SERVICE-OUTBOUND-03</x:v>
      </x:c>
      <x:c r="D23" s="27" t="n">
        <x:v>20</x:v>
      </x:c>
      <x:c r="F23" s="4" t="n">
        <x:v>22</x:v>
      </x:c>
      <x:c r="G23" s="24" t="n">
        <x:v>0.475</x:v>
      </x:c>
      <x:c r="H23" s="4" t="str">
        <x:v>SERVICE-INBOUND-01</x:v>
      </x:c>
      <x:c r="I23" s="4" t="n">
        <x:v>19</x:v>
      </x:c>
    </x:row>
    <x:row r="24">
      <x:c r="A24" s="29" t="n">
        <x:v>23</x:v>
      </x:c>
      <x:c r="B24" s="30" t="n">
        <x:v>0.5131944444444444</x:v>
      </x:c>
      <x:c r="C24" s="29" t="str">
        <x:v>SERVICE-OUTBOUND-04</x:v>
      </x:c>
      <x:c r="D24" s="29" t="n">
        <x:v>20</x:v>
      </x:c>
      <x:c r="F24" s="4" t="n">
        <x:v>23</x:v>
      </x:c>
      <x:c r="G24" s="24" t="n">
        <x:v>0.48819444444444443</x:v>
      </x:c>
      <x:c r="H24" s="4" t="str">
        <x:v>SERVICE-INBOUND-01</x:v>
      </x:c>
      <x:c r="I24" s="4" t="n">
        <x:v>19</x:v>
      </x:c>
    </x:row>
    <x:row r="25">
      <x:c r="A25" s="29" t="n">
        <x:v>24</x:v>
      </x:c>
      <x:c r="B25" s="30" t="n">
        <x:v>0.5263888888888889</x:v>
      </x:c>
      <x:c r="C25" s="29" t="str">
        <x:v>SERVICE-OUTBOUND-04</x:v>
      </x:c>
      <x:c r="D25" s="29" t="n">
        <x:v>19</x:v>
      </x:c>
      <x:c r="F25" s="4" t="n">
        <x:v>24</x:v>
      </x:c>
      <x:c r="G25" s="24" t="n">
        <x:v>0.5013888888888889</x:v>
      </x:c>
      <x:c r="H25" s="4" t="str">
        <x:v>SERVICE-INBOUND-01</x:v>
      </x:c>
      <x:c r="I25" s="4" t="n">
        <x:v>19</x:v>
      </x:c>
    </x:row>
    <x:row r="26">
      <x:c r="A26" s="29" t="n">
        <x:v>25</x:v>
      </x:c>
      <x:c r="B26" s="30" t="n">
        <x:v>0.5395833333333333</x:v>
      </x:c>
      <x:c r="C26" s="29" t="str">
        <x:v>SERVICE-OUTBOUND-04</x:v>
      </x:c>
      <x:c r="D26" s="29" t="n">
        <x:v>19</x:v>
      </x:c>
      <x:c r="F26" s="4" t="n">
        <x:v>25</x:v>
      </x:c>
      <x:c r="G26" s="24" t="n">
        <x:v>0.5145833333333333</x:v>
      </x:c>
      <x:c r="H26" s="4" t="str">
        <x:v>SERVICE-INBOUND-01</x:v>
      </x:c>
      <x:c r="I26" s="4" t="n">
        <x:v>19</x:v>
      </x:c>
    </x:row>
    <x:row r="27">
      <x:c r="A27" s="29" t="n">
        <x:v>26</x:v>
      </x:c>
      <x:c r="B27" s="30" t="n">
        <x:v>0.5527777777777778</x:v>
      </x:c>
      <x:c r="C27" s="29" t="str">
        <x:v>SERVICE-OUTBOUND-04</x:v>
      </x:c>
      <x:c r="D27" s="29" t="n">
        <x:v>19</x:v>
      </x:c>
      <x:c r="F27" s="4" t="n">
        <x:v>26</x:v>
      </x:c>
      <x:c r="G27" s="24" t="n">
        <x:v>0.5277777777777778</x:v>
      </x:c>
      <x:c r="H27" s="4" t="str">
        <x:v>SERVICE-INBOUND-01</x:v>
      </x:c>
      <x:c r="I27" s="4" t="n">
        <x:v>19</x:v>
      </x:c>
    </x:row>
    <x:row r="28">
      <x:c r="A28" s="29" t="n">
        <x:v>27</x:v>
      </x:c>
      <x:c r="B28" s="30" t="n">
        <x:v>0.5659722222222222</x:v>
      </x:c>
      <x:c r="C28" s="29" t="str">
        <x:v>SERVICE-OUTBOUND-04</x:v>
      </x:c>
      <x:c r="D28" s="29" t="n">
        <x:v>19</x:v>
      </x:c>
      <x:c r="F28" s="4" t="n">
        <x:v>27</x:v>
      </x:c>
      <x:c r="G28" s="24" t="n">
        <x:v>0.5409722222222222</x:v>
      </x:c>
      <x:c r="H28" s="4" t="str">
        <x:v>SERVICE-INBOUND-01</x:v>
      </x:c>
      <x:c r="I28" s="4" t="n">
        <x:v>19</x:v>
      </x:c>
    </x:row>
    <x:row r="29">
      <x:c r="A29" s="29" t="n">
        <x:v>28</x:v>
      </x:c>
      <x:c r="B29" s="30" t="n">
        <x:v>0.5791666666666667</x:v>
      </x:c>
      <x:c r="C29" s="29" t="str">
        <x:v>SERVICE-OUTBOUND-04</x:v>
      </x:c>
      <x:c r="D29" s="29" t="n">
        <x:v>19</x:v>
      </x:c>
      <x:c r="F29" s="4" t="n">
        <x:v>28</x:v>
      </x:c>
      <x:c r="G29" s="24" t="n">
        <x:v>0.5541666666666667</x:v>
      </x:c>
      <x:c r="H29" s="4" t="str">
        <x:v>SERVICE-INBOUND-01</x:v>
      </x:c>
      <x:c r="I29" s="4" t="n">
        <x:v>19</x:v>
      </x:c>
    </x:row>
    <x:row r="30">
      <x:c r="A30" s="29" t="n">
        <x:v>29</x:v>
      </x:c>
      <x:c r="B30" s="30" t="n">
        <x:v>0.5923611111111111</x:v>
      </x:c>
      <x:c r="C30" s="29" t="str">
        <x:v>SERVICE-OUTBOUND-04</x:v>
      </x:c>
      <x:c r="D30" s="29" t="n">
        <x:v>19</x:v>
      </x:c>
      <x:c r="F30" s="4" t="n">
        <x:v>29</x:v>
      </x:c>
      <x:c r="G30" s="24" t="n">
        <x:v>0.5673611111111111</x:v>
      </x:c>
      <x:c r="H30" s="4" t="str">
        <x:v>SERVICE-INBOUND-01</x:v>
      </x:c>
      <x:c r="I30" s="4" t="n">
        <x:v>19</x:v>
      </x:c>
    </x:row>
    <x:row r="31">
      <x:c r="A31" s="29" t="n">
        <x:v>30</x:v>
      </x:c>
      <x:c r="B31" s="30" t="n">
        <x:v>0.6055555555555555</x:v>
      </x:c>
      <x:c r="C31" s="29" t="str">
        <x:v>SERVICE-OUTBOUND-04</x:v>
      </x:c>
      <x:c r="D31" s="29" t="n">
        <x:v>19</x:v>
      </x:c>
      <x:c r="F31" s="4" t="n">
        <x:v>30</x:v>
      </x:c>
      <x:c r="G31" s="24" t="n">
        <x:v>0.5805555555555556</x:v>
      </x:c>
      <x:c r="H31" s="4" t="str">
        <x:v>SERVICE-INBOUND-01</x:v>
      </x:c>
      <x:c r="I31" s="4" t="n">
        <x:v>19</x:v>
      </x:c>
    </x:row>
    <x:row r="32">
      <x:c r="A32" s="29" t="n">
        <x:v>31</x:v>
      </x:c>
      <x:c r="B32" s="30" t="n">
        <x:v>0.61875</x:v>
      </x:c>
      <x:c r="C32" s="29" t="str">
        <x:v>SERVICE-OUTBOUND-04</x:v>
      </x:c>
      <x:c r="D32" s="29" t="n">
        <x:v>19</x:v>
      </x:c>
      <x:c r="F32" s="4" t="n">
        <x:v>31</x:v>
      </x:c>
      <x:c r="G32" s="24" t="n">
        <x:v>0.59375</x:v>
      </x:c>
      <x:c r="H32" s="4" t="str">
        <x:v>SERVICE-INBOUND-01</x:v>
      </x:c>
      <x:c r="I32" s="4" t="n">
        <x:v>19</x:v>
      </x:c>
    </x:row>
    <x:row r="33">
      <x:c r="A33" s="29" t="n">
        <x:v>32</x:v>
      </x:c>
      <x:c r="B33" s="30" t="n">
        <x:v>0.6319444444444444</x:v>
      </x:c>
      <x:c r="C33" s="29" t="str">
        <x:v>SERVICE-OUTBOUND-04</x:v>
      </x:c>
      <x:c r="D33" s="29" t="n">
        <x:v>19</x:v>
      </x:c>
      <x:c r="F33" s="4" t="n">
        <x:v>32</x:v>
      </x:c>
      <x:c r="G33" s="24" t="n">
        <x:v>0.6069444444444444</x:v>
      </x:c>
      <x:c r="H33" s="4" t="str">
        <x:v>SERVICE-INBOUND-01</x:v>
      </x:c>
      <x:c r="I33" s="4" t="n">
        <x:v>19</x:v>
      </x:c>
    </x:row>
    <x:row r="34">
      <x:c r="A34" s="29" t="n">
        <x:v>33</x:v>
      </x:c>
      <x:c r="B34" s="30" t="n">
        <x:v>0.6451388888888889</x:v>
      </x:c>
      <x:c r="C34" s="29" t="str">
        <x:v>SERVICE-OUTBOUND-04</x:v>
      </x:c>
      <x:c r="D34" s="29" t="n">
        <x:v>19</x:v>
      </x:c>
      <x:c r="F34" s="4" t="n">
        <x:v>33</x:v>
      </x:c>
      <x:c r="G34" s="24" t="n">
        <x:v>0.6201388888888889</x:v>
      </x:c>
      <x:c r="H34" s="4" t="str">
        <x:v>SERVICE-INBOUND-01</x:v>
      </x:c>
      <x:c r="I34" s="4" t="n">
        <x:v>19</x:v>
      </x:c>
    </x:row>
    <x:row r="35">
      <x:c r="A35" s="4" t="n">
        <x:v>34</x:v>
      </x:c>
      <x:c r="B35" s="24" t="n">
        <x:v>0.6583333333333333</x:v>
      </x:c>
      <x:c r="C35" s="4" t="str">
        <x:v>SERVICE-OUTBOUND-05</x:v>
      </x:c>
      <x:c r="D35" s="4" t="n">
        <x:v>19</x:v>
      </x:c>
      <x:c r="F35" s="4" t="n">
        <x:v>34</x:v>
      </x:c>
      <x:c r="G35" s="24" t="n">
        <x:v>0.6333333333333333</x:v>
      </x:c>
      <x:c r="H35" s="4" t="str">
        <x:v>SERVICE-INBOUND-01</x:v>
      </x:c>
      <x:c r="I35" s="4" t="n">
        <x:v>19</x:v>
      </x:c>
    </x:row>
    <x:row r="36">
      <x:c r="A36" s="4" t="n">
        <x:v>35</x:v>
      </x:c>
      <x:c r="B36" s="24" t="n">
        <x:v>0.6680555555555555</x:v>
      </x:c>
      <x:c r="C36" s="4" t="str">
        <x:v>SERVICE-OUTBOUND-05</x:v>
      </x:c>
      <x:c r="D36" s="4" t="n">
        <x:v>14</x:v>
      </x:c>
      <x:c r="F36" s="25" t="n">
        <x:v>35</x:v>
      </x:c>
      <x:c r="G36" s="26" t="n">
        <x:v>0.6465277777777778</x:v>
      </x:c>
      <x:c r="H36" s="25" t="str">
        <x:v>SERVICE-INBOUND-02</x:v>
      </x:c>
      <x:c r="I36" s="25" t="n">
        <x:v>19</x:v>
      </x:c>
    </x:row>
    <x:row r="37">
      <x:c r="A37" s="4" t="n">
        <x:v>36</x:v>
      </x:c>
      <x:c r="B37" s="24" t="n">
        <x:v>0.6777777777777778</x:v>
      </x:c>
      <x:c r="C37" s="4" t="str">
        <x:v>SERVICE-OUTBOUND-05</x:v>
      </x:c>
      <x:c r="D37" s="4" t="n">
        <x:v>14</x:v>
      </x:c>
      <x:c r="F37" s="25" t="n">
        <x:v>36</x:v>
      </x:c>
      <x:c r="G37" s="26" t="n">
        <x:v>0.6604166666666667</x:v>
      </x:c>
      <x:c r="H37" s="25" t="str">
        <x:v>SERVICE-INBOUND-02</x:v>
      </x:c>
      <x:c r="I37" s="25" t="n">
        <x:v>20</x:v>
      </x:c>
    </x:row>
    <x:row r="38">
      <x:c r="A38" s="4" t="n">
        <x:v>37</x:v>
      </x:c>
      <x:c r="B38" s="24" t="n">
        <x:v>0.6875</x:v>
      </x:c>
      <x:c r="C38" s="4" t="str">
        <x:v>SERVICE-OUTBOUND-05</x:v>
      </x:c>
      <x:c r="D38" s="4" t="n">
        <x:v>14</x:v>
      </x:c>
      <x:c r="F38" s="25" t="n">
        <x:v>37</x:v>
      </x:c>
      <x:c r="G38" s="26" t="n">
        <x:v>0.6743055555555556</x:v>
      </x:c>
      <x:c r="H38" s="25" t="str">
        <x:v>SERVICE-INBOUND-02</x:v>
      </x:c>
      <x:c r="I38" s="25" t="n">
        <x:v>20</x:v>
      </x:c>
    </x:row>
    <x:row r="39">
      <x:c r="A39" s="4" t="n">
        <x:v>38</x:v>
      </x:c>
      <x:c r="B39" s="24" t="n">
        <x:v>0.6972222222222222</x:v>
      </x:c>
      <x:c r="C39" s="4" t="str">
        <x:v>SERVICE-OUTBOUND-05</x:v>
      </x:c>
      <x:c r="D39" s="4" t="n">
        <x:v>14</x:v>
      </x:c>
      <x:c r="F39" s="25" t="n">
        <x:v>38</x:v>
      </x:c>
      <x:c r="G39" s="26" t="n">
        <x:v>0.6881944444444444</x:v>
      </x:c>
      <x:c r="H39" s="25" t="str">
        <x:v>SERVICE-INBOUND-02</x:v>
      </x:c>
      <x:c r="I39" s="25" t="n">
        <x:v>20</x:v>
      </x:c>
    </x:row>
    <x:row r="40">
      <x:c r="A40" s="4" t="n">
        <x:v>39</x:v>
      </x:c>
      <x:c r="B40" s="24" t="n">
        <x:v>0.7069444444444445</x:v>
      </x:c>
      <x:c r="C40" s="4" t="str">
        <x:v>SERVICE-OUTBOUND-05</x:v>
      </x:c>
      <x:c r="D40" s="4" t="n">
        <x:v>14</x:v>
      </x:c>
      <x:c r="F40" s="25" t="n">
        <x:v>39</x:v>
      </x:c>
      <x:c r="G40" s="26" t="n">
        <x:v>0.7020833333333333</x:v>
      </x:c>
      <x:c r="H40" s="25" t="str">
        <x:v>SERVICE-INBOUND-02</x:v>
      </x:c>
      <x:c r="I40" s="25" t="n">
        <x:v>20</x:v>
      </x:c>
    </x:row>
    <x:row r="41">
      <x:c r="A41" s="4" t="n">
        <x:v>40</x:v>
      </x:c>
      <x:c r="B41" s="24" t="n">
        <x:v>0.7166666666666667</x:v>
      </x:c>
      <x:c r="C41" s="4" t="str">
        <x:v>SERVICE-OUTBOUND-05</x:v>
      </x:c>
      <x:c r="D41" s="4" t="n">
        <x:v>14</x:v>
      </x:c>
      <x:c r="F41" s="25" t="n">
        <x:v>40</x:v>
      </x:c>
      <x:c r="G41" s="26" t="n">
        <x:v>0.7159722222222222</x:v>
      </x:c>
      <x:c r="H41" s="25" t="str">
        <x:v>SERVICE-INBOUND-02</x:v>
      </x:c>
      <x:c r="I41" s="25" t="n">
        <x:v>20</x:v>
      </x:c>
    </x:row>
    <x:row r="42">
      <x:c r="A42" s="25" t="n">
        <x:v>41</x:v>
      </x:c>
      <x:c r="B42" s="26" t="n">
        <x:v>0.7291666666666666</x:v>
      </x:c>
      <x:c r="C42" s="25" t="str">
        <x:v>SERVICE-OUTBOUND-06</x:v>
      </x:c>
      <x:c r="D42" s="25" t="n">
        <x:v>18</x:v>
      </x:c>
      <x:c r="F42" s="27" t="n">
        <x:v>41</x:v>
      </x:c>
      <x:c r="G42" s="28" t="n">
        <x:v>0.7291666666666666</x:v>
      </x:c>
      <x:c r="H42" s="27" t="str">
        <x:v>SERVICE-INBOUND-03</x:v>
      </x:c>
      <x:c r="I42" s="27" t="n">
        <x:v>19</x:v>
      </x:c>
    </x:row>
    <x:row r="43">
      <x:c r="A43" s="25" t="n">
        <x:v>42</x:v>
      </x:c>
      <x:c r="B43" s="26" t="n">
        <x:v>0.7416666666666667</x:v>
      </x:c>
      <x:c r="C43" s="25" t="str">
        <x:v>SERVICE-OUTBOUND-06</x:v>
      </x:c>
      <x:c r="D43" s="25" t="n">
        <x:v>18</x:v>
      </x:c>
      <x:c r="F43" s="27" t="n">
        <x:v>42</x:v>
      </x:c>
      <x:c r="G43" s="28" t="n">
        <x:v>0.7423611111111111</x:v>
      </x:c>
      <x:c r="H43" s="27" t="str">
        <x:v>SERVICE-INBOUND-03</x:v>
      </x:c>
      <x:c r="I43" s="27" t="n">
        <x:v>19</x:v>
      </x:c>
    </x:row>
    <x:row r="44">
      <x:c r="A44" s="25" t="n">
        <x:v>43</x:v>
      </x:c>
      <x:c r="B44" s="26" t="n">
        <x:v>0.7541666666666667</x:v>
      </x:c>
      <x:c r="C44" s="25" t="str">
        <x:v>SERVICE-OUTBOUND-06</x:v>
      </x:c>
      <x:c r="D44" s="25" t="n">
        <x:v>18</x:v>
      </x:c>
      <x:c r="F44" s="27" t="n">
        <x:v>43</x:v>
      </x:c>
      <x:c r="G44" s="28" t="n">
        <x:v>0.7555555555555555</x:v>
      </x:c>
      <x:c r="H44" s="27" t="str">
        <x:v>SERVICE-INBOUND-03</x:v>
      </x:c>
      <x:c r="I44" s="27" t="n">
        <x:v>19</x:v>
      </x:c>
    </x:row>
    <x:row r="45">
      <x:c r="A45" s="25" t="n">
        <x:v>44</x:v>
      </x:c>
      <x:c r="B45" s="26" t="n">
        <x:v>0.7666666666666667</x:v>
      </x:c>
      <x:c r="C45" s="25" t="str">
        <x:v>SERVICE-OUTBOUND-06</x:v>
      </x:c>
      <x:c r="D45" s="25" t="n">
        <x:v>18</x:v>
      </x:c>
      <x:c r="F45" s="27" t="n">
        <x:v>44</x:v>
      </x:c>
      <x:c r="G45" s="28" t="n">
        <x:v>0.76875</x:v>
      </x:c>
      <x:c r="H45" s="27" t="str">
        <x:v>SERVICE-INBOUND-03</x:v>
      </x:c>
      <x:c r="I45" s="27" t="n">
        <x:v>19</x:v>
      </x:c>
    </x:row>
    <x:row r="46">
      <x:c r="A46" s="25" t="n">
        <x:v>45</x:v>
      </x:c>
      <x:c r="B46" s="26" t="n">
        <x:v>0.7791666666666667</x:v>
      </x:c>
      <x:c r="C46" s="25" t="str">
        <x:v>SERVICE-OUTBOUND-06</x:v>
      </x:c>
      <x:c r="D46" s="25" t="n">
        <x:v>18</x:v>
      </x:c>
      <x:c r="F46" s="27" t="n">
        <x:v>45</x:v>
      </x:c>
      <x:c r="G46" s="28" t="n">
        <x:v>0.7819444444444444</x:v>
      </x:c>
      <x:c r="H46" s="27" t="str">
        <x:v>SERVICE-INBOUND-03</x:v>
      </x:c>
      <x:c r="I46" s="27" t="n">
        <x:v>19</x:v>
      </x:c>
    </x:row>
    <x:row r="47">
      <x:c r="A47" s="27" t="n">
        <x:v>46</x:v>
      </x:c>
      <x:c r="B47" s="28" t="n">
        <x:v>0.7951388888888888</x:v>
      </x:c>
      <x:c r="C47" s="27" t="str">
        <x:v>SERVICE-OUTBOUND-07</x:v>
      </x:c>
      <x:c r="D47" s="27" t="n">
        <x:v>23</x:v>
      </x:c>
      <x:c r="F47" s="27" t="n">
        <x:v>46</x:v>
      </x:c>
      <x:c r="G47" s="28" t="n">
        <x:v>0.7951388888888888</x:v>
      </x:c>
      <x:c r="H47" s="27" t="str">
        <x:v>SERVICE-INBOUND-03</x:v>
      </x:c>
      <x:c r="I47" s="27" t="n">
        <x:v>19</x:v>
      </x:c>
    </x:row>
    <x:row r="48">
      <x:c r="A48" s="27" t="n">
        <x:v>47</x:v>
      </x:c>
      <x:c r="B48" s="28" t="n">
        <x:v>0.8111111111111111</x:v>
      </x:c>
      <x:c r="C48" s="27" t="str">
        <x:v>SERVICE-OUTBOUND-07</x:v>
      </x:c>
      <x:c r="D48" s="27" t="n">
        <x:v>23</x:v>
      </x:c>
      <x:c r="F48" s="27" t="n">
        <x:v>47</x:v>
      </x:c>
      <x:c r="G48" s="28" t="n">
        <x:v>0.8083333333333333</x:v>
      </x:c>
      <x:c r="H48" s="27" t="str">
        <x:v>SERVICE-INBOUND-03</x:v>
      </x:c>
      <x:c r="I48" s="27" t="n">
        <x:v>19</x:v>
      </x:c>
    </x:row>
    <x:row r="49">
      <x:c r="A49" s="27" t="n">
        <x:v>48</x:v>
      </x:c>
      <x:c r="B49" s="28" t="n">
        <x:v>0.8270833333333333</x:v>
      </x:c>
      <x:c r="C49" s="27" t="str">
        <x:v>SERVICE-OUTBOUND-07</x:v>
      </x:c>
      <x:c r="D49" s="27" t="n">
        <x:v>23</x:v>
      </x:c>
      <x:c r="F49" s="27" t="n">
        <x:v>48</x:v>
      </x:c>
      <x:c r="G49" s="28" t="n">
        <x:v>0.8215277777777777</x:v>
      </x:c>
      <x:c r="H49" s="27" t="str">
        <x:v>SERVICE-INBOUND-03</x:v>
      </x:c>
      <x:c r="I49" s="27" t="n">
        <x:v>19</x:v>
      </x:c>
    </x:row>
    <x:row r="50">
      <x:c r="A50" s="27" t="n">
        <x:v>49</x:v>
      </x:c>
      <x:c r="B50" s="28" t="n">
        <x:v>0.8430555555555556</x:v>
      </x:c>
      <x:c r="C50" s="27" t="str">
        <x:v>SERVICE-OUTBOUND-07</x:v>
      </x:c>
      <x:c r="D50" s="27" t="n">
        <x:v>23</x:v>
      </x:c>
      <x:c r="F50" s="29" t="n">
        <x:v>49</x:v>
      </x:c>
      <x:c r="G50" s="30" t="n">
        <x:v>0.8347222222222223</x:v>
      </x:c>
      <x:c r="H50" s="29" t="str">
        <x:v>SERVICE-INBOUND-04</x:v>
      </x:c>
      <x:c r="I50" s="29" t="n">
        <x:v>19</x:v>
      </x:c>
    </x:row>
    <x:row r="51">
      <x:c r="A51" s="27" t="n">
        <x:v>50</x:v>
      </x:c>
      <x:c r="B51" s="28" t="n">
        <x:v>0.8590277777777777</x:v>
      </x:c>
      <x:c r="C51" s="27" t="str">
        <x:v>SERVICE-OUTBOUND-07</x:v>
      </x:c>
      <x:c r="D51" s="27" t="n">
        <x:v>23</x:v>
      </x:c>
      <x:c r="F51" s="29" t="n">
        <x:v>50</x:v>
      </x:c>
      <x:c r="G51" s="30" t="n">
        <x:v>0.8548611111111111</x:v>
      </x:c>
      <x:c r="H51" s="29" t="str">
        <x:v>SERVICE-INBOUND-04</x:v>
      </x:c>
      <x:c r="I51" s="29" t="n">
        <x:v>29</x:v>
      </x:c>
    </x:row>
    <x:row r="52">
      <x:c r="A52" s="27" t="n">
        <x:v>51</x:v>
      </x:c>
      <x:c r="B52" s="28" t="n">
        <x:v>0.875</x:v>
      </x:c>
      <x:c r="C52" s="27" t="str">
        <x:v>SERVICE-OUTBOUND-07</x:v>
      </x:c>
      <x:c r="D52" s="27" t="n">
        <x:v>23</x:v>
      </x:c>
      <x:c r="F52" s="29" t="n">
        <x:v>51</x:v>
      </x:c>
      <x:c r="G52" s="30" t="n">
        <x:v>0.875</x:v>
      </x:c>
      <x:c r="H52" s="29" t="str">
        <x:v>SERVICE-INBOUND-04</x:v>
      </x:c>
      <x:c r="I52" s="29" t="n">
        <x:v>29</x:v>
      </x:c>
    </x:row>
  </x:sheetData>
  <x:pageMargins left="0.7" right="0.7" top="0.75" bottom="0.75" header="0.3" footer="0.3"/>
  <x:tableParts count="2">
    <x:tablePart xmlns:r="http://schemas.openxmlformats.org/officeDocument/2006/relationships" r:id="Reaee63ad89cf492c"/>
    <x:tablePart xmlns:r="http://schemas.openxmlformats.org/officeDocument/2006/relationships" r:id="R5c19d4a84cf44f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16" hidden="0" customWidth="1"/>
    <x:col min="4" max="4" width="16" hidden="0" customWidth="1"/>
    <x:col min="5" max="5" width="23" hidden="0" customWidth="1"/>
    <x:col min="6" max="6" width="13" hidden="0" customWidth="1"/>
    <x:col min="7" max="7" width="42" hidden="0" customWidth="1"/>
  </x:cols>
  <x:sheetData>
    <x:row r="1">
      <x:c r="A1" s="20" t="str">
        <x:v>Direction</x:v>
      </x:c>
      <x:c r="B1" s="21" t="str">
        <x:v>ServiceRegime ID</x:v>
      </x:c>
      <x:c r="C1" s="21" t="str">
        <x:v>First departure</x:v>
      </x:c>
      <x:c r="D1" s="21" t="str">
        <x:v>Last departure</x:v>
      </x:c>
      <x:c r="E1" s="21" t="str">
        <x:v>Uniform headway (min)</x:v>
      </x:c>
      <x:c r="F1" s="21" t="str">
        <x:v>Trip count</x:v>
      </x:c>
      <x:c r="G1" s="22" t="str">
        <x:v>Source DemandRegime evidence IDs</x:v>
      </x:c>
    </x:row>
    <x:row r="2">
      <x:c r="A2" t="str">
        <x:v>outbound</x:v>
      </x:c>
      <x:c r="B2" t="str">
        <x:v>SERVICE-OUTBOUND-01</x:v>
      </x:c>
      <x:c r="C2" s="23" t="n">
        <x:v>0.20833333333333334</x:v>
      </x:c>
      <x:c r="D2" s="23" t="n">
        <x:v>0.2611111111111111</x:v>
      </x:c>
      <x:c r="E2" t="n">
        <x:v>19</x:v>
      </x:c>
      <x:c r="F2" t="n">
        <x:v>5</x:v>
      </x:c>
      <x:c r="G2" s="31" t="str">
        <x:v>PLAN-OUTBOUND-01</x:v>
      </x:c>
    </x:row>
    <x:row r="3">
      <x:c r="A3" t="str">
        <x:v>outbound</x:v>
      </x:c>
      <x:c r="B3" t="str">
        <x:v>SERVICE-OUTBOUND-02</x:v>
      </x:c>
      <x:c r="C3" s="23" t="n">
        <x:v>0.2743055555555556</x:v>
      </x:c>
      <x:c r="D3" s="23" t="n">
        <x:v>0.3326388888888889</x:v>
      </x:c>
      <x:c r="E3" t="n">
        <x:v>21</x:v>
      </x:c>
      <x:c r="F3" t="n">
        <x:v>5</x:v>
      </x:c>
      <x:c r="G3" s="31" t="str">
        <x:v>PLAN-OUTBOUND-02</x:v>
      </x:c>
    </x:row>
    <x:row r="4">
      <x:c r="A4" t="str">
        <x:v>outbound</x:v>
      </x:c>
      <x:c r="B4" t="str">
        <x:v>SERVICE-OUTBOUND-03</x:v>
      </x:c>
      <x:c r="C4" s="23" t="n">
        <x:v>0.34652777777777777</x:v>
      </x:c>
      <x:c r="D4" s="23" t="n">
        <x:v>0.49930555555555556</x:v>
      </x:c>
      <x:c r="E4" t="n">
        <x:v>20</x:v>
      </x:c>
      <x:c r="F4" t="n">
        <x:v>12</x:v>
      </x:c>
      <x:c r="G4" s="31" t="str">
        <x:v>PLAN-OUTBOUND-03, PLAN-OUTBOUND-04</x:v>
      </x:c>
    </x:row>
    <x:row r="5">
      <x:c r="A5" t="str">
        <x:v>outbound</x:v>
      </x:c>
      <x:c r="B5" t="str">
        <x:v>SERVICE-OUTBOUND-04</x:v>
      </x:c>
      <x:c r="C5" s="23" t="n">
        <x:v>0.5131944444444444</x:v>
      </x:c>
      <x:c r="D5" s="23" t="n">
        <x:v>0.6451388888888889</x:v>
      </x:c>
      <x:c r="E5" t="n">
        <x:v>19</x:v>
      </x:c>
      <x:c r="F5" t="n">
        <x:v>11</x:v>
      </x:c>
      <x:c r="G5" s="31" t="str">
        <x:v>PLAN-OUTBOUND-05</x:v>
      </x:c>
    </x:row>
    <x:row r="6">
      <x:c r="A6" t="str">
        <x:v>outbound</x:v>
      </x:c>
      <x:c r="B6" t="str">
        <x:v>SERVICE-OUTBOUND-05</x:v>
      </x:c>
      <x:c r="C6" s="23" t="n">
        <x:v>0.6583333333333333</x:v>
      </x:c>
      <x:c r="D6" s="23" t="n">
        <x:v>0.7166666666666667</x:v>
      </x:c>
      <x:c r="E6" t="n">
        <x:v>14</x:v>
      </x:c>
      <x:c r="F6" t="n">
        <x:v>7</x:v>
      </x:c>
      <x:c r="G6" s="31" t="str">
        <x:v>PLAN-OUTBOUND-06</x:v>
      </x:c>
    </x:row>
    <x:row r="7">
      <x:c r="A7" t="str">
        <x:v>outbound</x:v>
      </x:c>
      <x:c r="B7" t="str">
        <x:v>SERVICE-OUTBOUND-06</x:v>
      </x:c>
      <x:c r="C7" s="23" t="n">
        <x:v>0.7291666666666666</x:v>
      </x:c>
      <x:c r="D7" s="23" t="n">
        <x:v>0.7791666666666667</x:v>
      </x:c>
      <x:c r="E7" t="n">
        <x:v>18</x:v>
      </x:c>
      <x:c r="F7" t="n">
        <x:v>5</x:v>
      </x:c>
      <x:c r="G7" s="31" t="str">
        <x:v>PLAN-OUTBOUND-07</x:v>
      </x:c>
    </x:row>
    <x:row r="8">
      <x:c r="A8" t="str">
        <x:v>outbound</x:v>
      </x:c>
      <x:c r="B8" t="str">
        <x:v>SERVICE-OUTBOUND-07</x:v>
      </x:c>
      <x:c r="C8" s="23" t="n">
        <x:v>0.7951388888888888</x:v>
      </x:c>
      <x:c r="D8" s="23" t="n">
        <x:v>0.875</x:v>
      </x:c>
      <x:c r="E8" t="n">
        <x:v>23</x:v>
      </x:c>
      <x:c r="F8" t="n">
        <x:v>6</x:v>
      </x:c>
      <x:c r="G8" s="31" t="str">
        <x:v>PLAN-OUTBOUND-08</x:v>
      </x:c>
    </x:row>
    <x:row r="9">
      <x:c r="A9" t="str">
        <x:v>inbound</x:v>
      </x:c>
      <x:c r="B9" t="str">
        <x:v>SERVICE-INBOUND-01</x:v>
      </x:c>
      <x:c r="C9" s="23" t="n">
        <x:v>0.19791666666666666</x:v>
      </x:c>
      <x:c r="D9" s="23" t="n">
        <x:v>0.6333333333333333</x:v>
      </x:c>
      <x:c r="E9" t="n">
        <x:v>19</x:v>
      </x:c>
      <x:c r="F9" t="n">
        <x:v>34</x:v>
      </x:c>
      <x:c r="G9" s="31" t="str">
        <x:v>PLAN-INBOUND-01, PLAN-INBOUND-02</x:v>
      </x:c>
    </x:row>
    <x:row r="10">
      <x:c r="A10" t="str">
        <x:v>inbound</x:v>
      </x:c>
      <x:c r="B10" t="str">
        <x:v>SERVICE-INBOUND-02</x:v>
      </x:c>
      <x:c r="C10" s="23" t="n">
        <x:v>0.6465277777777778</x:v>
      </x:c>
      <x:c r="D10" s="23" t="n">
        <x:v>0.7159722222222222</x:v>
      </x:c>
      <x:c r="E10" t="n">
        <x:v>20</x:v>
      </x:c>
      <x:c r="F10" t="n">
        <x:v>6</x:v>
      </x:c>
      <x:c r="G10" s="31" t="str">
        <x:v>PLAN-INBOUND-03</x:v>
      </x:c>
    </x:row>
    <x:row r="11">
      <x:c r="A11" t="str">
        <x:v>inbound</x:v>
      </x:c>
      <x:c r="B11" t="str">
        <x:v>SERVICE-INBOUND-03</x:v>
      </x:c>
      <x:c r="C11" s="23" t="n">
        <x:v>0.7291666666666666</x:v>
      </x:c>
      <x:c r="D11" s="23" t="n">
        <x:v>0.8215277777777777</x:v>
      </x:c>
      <x:c r="E11" t="n">
        <x:v>19</x:v>
      </x:c>
      <x:c r="F11" t="n">
        <x:v>8</x:v>
      </x:c>
      <x:c r="G11" s="31" t="str">
        <x:v>PLAN-INBOUND-04</x:v>
      </x:c>
    </x:row>
    <x:row r="12">
      <x:c r="A12" t="str">
        <x:v>inbound</x:v>
      </x:c>
      <x:c r="B12" t="str">
        <x:v>SERVICE-INBOUND-04</x:v>
      </x:c>
      <x:c r="C12" s="23" t="n">
        <x:v>0.8347222222222223</x:v>
      </x:c>
      <x:c r="D12" s="23" t="n">
        <x:v>0.875</x:v>
      </x:c>
      <x:c r="E12" t="n">
        <x:v>29</x:v>
      </x:c>
      <x:c r="F12" t="n">
        <x:v>3</x:v>
      </x:c>
      <x:c r="G12" s="31" t="str">
        <x:v>PLAN-INBOUND-05</x:v>
      </x:c>
    </x:row>
  </x:sheetData>
  <x:pageMargins left="0.7" right="0.7" top="0.75" bottom="0.75" header="0.3" footer="0.3"/>
  <x:tableParts count="1">
    <x:tablePart xmlns:r="http://schemas.openxmlformats.org/officeDocument/2006/relationships" r:id="R0143b0b03eb344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8" hidden="0" customWidth="1"/>
    <x:col min="5" max="5" width="29" hidden="0" customWidth="1"/>
    <x:col min="6" max="6" width="23" hidden="0" customWidth="1"/>
    <x:col min="7" max="7" width="15" hidden="0" customWidth="1"/>
    <x:col min="8" max="8" width="25" hidden="0" customWidth="1"/>
    <x:col min="9" max="9" width="22" hidden="0" customWidth="1"/>
    <x:col min="10" max="10" width="3" hidden="0" customWidth="1"/>
    <x:col min="11" max="11" width="23" hidden="0" customWidth="1"/>
    <x:col min="12" max="12" width="23" hidden="0" customWidth="1"/>
    <x:col min="13" max="13" width="26" hidden="0" customWidth="1"/>
    <x:col min="14" max="14" width="22" hidden="0" customWidth="1"/>
  </x:cols>
  <x:sheetData>
    <x:row r="1">
      <x:c r="A1" s="20" t="str">
        <x:v>Direction</x:v>
      </x:c>
      <x:c r="B1" s="21" t="str">
        <x:v>Start</x:v>
      </x:c>
      <x:c r="C1" s="21" t="str">
        <x:v>End</x:v>
      </x:c>
      <x:c r="D1" s="21" t="str">
        <x:v>Observed demand</x:v>
      </x:c>
      <x:c r="E1" s="21" t="str">
        <x:v>Scenario B/current service count</x:v>
      </x:c>
      <x:c r="F1" s="21" t="str">
        <x:v>Final V2 service count</x:v>
      </x:c>
      <x:c r="G1" s="21" t="str">
        <x:v>Demand share</x:v>
      </x:c>
      <x:c r="H1" s="21" t="str">
        <x:v>Scenario B service share</x:v>
      </x:c>
      <x:c r="I1" s="22" t="str">
        <x:v>Final V2 service share</x:v>
      </x:c>
    </x:row>
    <x:row r="2">
      <x:c r="A2" t="str">
        <x:v>outbound</x:v>
      </x:c>
      <x:c r="B2" s="23" t="n">
        <x:v>0.1875</x:v>
      </x:c>
      <x:c r="C2" s="23" t="n">
        <x:v>0.20833333333333334</x:v>
      </x:c>
      <x:c r="D2" s="32" t="n">
        <x:v>9.130718954248366</x:v>
      </x:c>
      <x:c r="E2" t="n">
        <x:v>0</x:v>
      </x:c>
      <x:c r="F2" t="n">
        <x:v>0</x:v>
      </x:c>
      <x:c r="G2" s="33" t="n">
        <x:v>0.006093093040702036</x:v>
      </x:c>
      <x:c r="H2" s="33" t="n">
        <x:v>0</x:v>
      </x:c>
      <x:c r="I2" s="33" t="n">
        <x:v>0</x:v>
      </x:c>
    </x:row>
    <x:row r="3">
      <x:c r="A3" t="str">
        <x:v>outbound</x:v>
      </x:c>
      <x:c r="B3" s="23" t="n">
        <x:v>0.20833333333333334</x:v>
      </x:c>
      <x:c r="C3" s="23" t="n">
        <x:v>0.22916666666666666</x:v>
      </x:c>
      <x:c r="D3" s="32" t="n">
        <x:v>42.02614379084967</x:v>
      </x:c>
      <x:c r="E3" t="n">
        <x:v>2</x:v>
      </x:c>
      <x:c r="F3" t="n">
        <x:v>2</x:v>
      </x:c>
      <x:c r="G3" s="33" t="n">
        <x:v>0.02804480189814896</x:v>
      </x:c>
      <x:c r="H3" s="33" t="n">
        <x:v>0.0392156862745098</x:v>
      </x:c>
      <x:c r="I3" s="33" t="n">
        <x:v>0.0392156862745098</x:v>
      </x:c>
    </x:row>
    <x:row r="4">
      <x:c r="A4" t="str">
        <x:v>outbound</x:v>
      </x:c>
      <x:c r="B4" s="23" t="n">
        <x:v>0.22916666666666666</x:v>
      </x:c>
      <x:c r="C4" s="23" t="n">
        <x:v>0.25</x:v>
      </x:c>
      <x:c r="D4" s="32" t="n">
        <x:v>62.209150326797385</x:v>
      </x:c>
      <x:c r="E4" t="n">
        <x:v>2</x:v>
      </x:c>
      <x:c r="F4" t="n">
        <x:v>2</x:v>
      </x:c>
      <x:c r="G4" s="33" t="n">
        <x:v>0.041513285298068706</x:v>
      </x:c>
      <x:c r="H4" s="33" t="n">
        <x:v>0.0392156862745098</x:v>
      </x:c>
      <x:c r="I4" s="33" t="n">
        <x:v>0.0392156862745098</x:v>
      </x:c>
    </x:row>
    <x:row r="5">
      <x:c r="A5" t="str">
        <x:v>outbound</x:v>
      </x:c>
      <x:c r="B5" s="23" t="n">
        <x:v>0.25</x:v>
      </x:c>
      <x:c r="C5" s="23" t="n">
        <x:v>0.2708333333333333</x:v>
      </x:c>
      <x:c r="D5" s="32" t="n">
        <x:v>45.93464052287582</x:v>
      </x:c>
      <x:c r="E5" t="n">
        <x:v>2</x:v>
      </x:c>
      <x:c r="F5" t="n">
        <x:v>1</x:v>
      </x:c>
      <x:c r="G5" s="33" t="n">
        <x:v>0.030653012090231864</x:v>
      </x:c>
      <x:c r="H5" s="33" t="n">
        <x:v>0.0392156862745098</x:v>
      </x:c>
      <x:c r="I5" s="33" t="n">
        <x:v>0.0196078431372549</x:v>
      </x:c>
    </x:row>
    <x:row r="6">
      <x:c r="A6" t="str">
        <x:v>outbound</x:v>
      </x:c>
      <x:c r="B6" s="23" t="n">
        <x:v>0.2708333333333333</x:v>
      </x:c>
      <x:c r="C6" s="23" t="n">
        <x:v>0.2916666666666667</x:v>
      </x:c>
      <x:c r="D6" s="32" t="n">
        <x:v>80.19607843137256</x:v>
      </x:c>
      <x:c r="E6" t="n">
        <x:v>1</x:v>
      </x:c>
      <x:c r="F6" t="n">
        <x:v>2</x:v>
      </x:c>
      <x:c r="G6" s="33" t="n">
        <x:v>0.053516286048256256</x:v>
      </x:c>
      <x:c r="H6" s="33" t="n">
        <x:v>0.0196078431372549</x:v>
      </x:c>
      <x:c r="I6" s="33" t="n">
        <x:v>0.0392156862745098</x:v>
      </x:c>
    </x:row>
    <x:row r="7">
      <x:c r="A7" t="str">
        <x:v>outbound</x:v>
      </x:c>
      <x:c r="B7" s="23" t="n">
        <x:v>0.2916666666666667</x:v>
      </x:c>
      <x:c r="C7" s="23" t="n">
        <x:v>0.3125</x:v>
      </x:c>
      <x:c r="D7" s="32" t="n">
        <x:v>52.42483660130719</x:v>
      </x:c>
      <x:c r="E7" t="n">
        <x:v>2</x:v>
      </x:c>
      <x:c r="F7" t="n">
        <x:v>1</x:v>
      </x:c>
      <x:c r="G7" s="33" t="n">
        <x:v>0.034984036706851136</x:v>
      </x:c>
      <x:c r="H7" s="33" t="n">
        <x:v>0.0392156862745098</x:v>
      </x:c>
      <x:c r="I7" s="33" t="n">
        <x:v>0.0196078431372549</x:v>
      </x:c>
    </x:row>
    <x:row r="8">
      <x:c r="A8" t="str">
        <x:v>outbound</x:v>
      </x:c>
      <x:c r="B8" s="23" t="n">
        <x:v>0.3125</x:v>
      </x:c>
      <x:c r="C8" s="23" t="n">
        <x:v>0.3333333333333333</x:v>
      </x:c>
      <x:c r="D8" s="32" t="n">
        <x:v>70.62091503267973</x:v>
      </x:c>
      <x:c r="E8" t="n">
        <x:v>1</x:v>
      </x:c>
      <x:c r="F8" t="n">
        <x:v>2</x:v>
      </x:c>
      <x:c r="G8" s="33" t="n">
        <x:v>0.04712660723320365</x:v>
      </x:c>
      <x:c r="H8" s="33" t="n">
        <x:v>0.0196078431372549</x:v>
      </x:c>
      <x:c r="I8" s="33" t="n">
        <x:v>0.0392156862745098</x:v>
      </x:c>
    </x:row>
    <x:row r="9">
      <x:c r="A9" t="str">
        <x:v>outbound</x:v>
      </x:c>
      <x:c r="B9" s="23" t="n">
        <x:v>0.3333333333333333</x:v>
      </x:c>
      <x:c r="C9" s="23" t="n">
        <x:v>0.3541666666666667</x:v>
      </x:c>
      <x:c r="D9" s="32" t="n">
        <x:v>43.18300653594771</x:v>
      </x:c>
      <x:c r="E9" t="n">
        <x:v>2</x:v>
      </x:c>
      <x:c r="F9" t="n">
        <x:v>1</x:v>
      </x:c>
      <x:c r="G9" s="33" t="n">
        <x:v>0.028816797222561457</x:v>
      </x:c>
      <x:c r="H9" s="33" t="n">
        <x:v>0.0392156862745098</x:v>
      </x:c>
      <x:c r="I9" s="33" t="n">
        <x:v>0.0196078431372549</x:v>
      </x:c>
    </x:row>
    <x:row r="10">
      <x:c r="A10" t="str">
        <x:v>outbound</x:v>
      </x:c>
      <x:c r="B10" s="23" t="n">
        <x:v>0.3541666666666667</x:v>
      </x:c>
      <x:c r="C10" s="23" t="n">
        <x:v>0.375</x:v>
      </x:c>
      <x:c r="D10" s="32" t="n">
        <x:v>60.790849673202615</x:v>
      </x:c>
      <x:c r="E10" t="n">
        <x:v>1</x:v>
      </x:c>
      <x:c r="F10" t="n">
        <x:v>2</x:v>
      </x:c>
      <x:c r="G10" s="33" t="n">
        <x:v>0.04056682775345</x:v>
      </x:c>
      <x:c r="H10" s="33" t="n">
        <x:v>0.0196078431372549</x:v>
      </x:c>
      <x:c r="I10" s="33" t="n">
        <x:v>0.0392156862745098</x:v>
      </x:c>
    </x:row>
    <x:row r="11">
      <x:c r="A11" t="str">
        <x:v>outbound</x:v>
      </x:c>
      <x:c r="B11" s="23" t="n">
        <x:v>0.375</x:v>
      </x:c>
      <x:c r="C11" s="23" t="n">
        <x:v>0.3958333333333333</x:v>
      </x:c>
      <x:c r="D11" s="32" t="n">
        <x:v>37.04575163398693</x:v>
      </x:c>
      <x:c r="E11" t="n">
        <x:v>2</x:v>
      </x:c>
      <x:c r="F11" t="n">
        <x:v>1</x:v>
      </x:c>
      <x:c r="G11" s="33" t="n">
        <x:v>0.024721296603220578</x:v>
      </x:c>
      <x:c r="H11" s="33" t="n">
        <x:v>0.0392156862745098</x:v>
      </x:c>
      <x:c r="I11" s="33" t="n">
        <x:v>0.0196078431372549</x:v>
      </x:c>
    </x:row>
    <x:row r="12">
      <x:c r="A12" t="str">
        <x:v>outbound</x:v>
      </x:c>
      <x:c r="B12" s="23" t="n">
        <x:v>0.3958333333333333</x:v>
      </x:c>
      <x:c r="C12" s="23" t="n">
        <x:v>0.4166666666666667</x:v>
      </x:c>
      <x:c r="D12" s="32" t="n">
        <x:v>29.797385620915033</x:v>
      </x:c>
      <x:c r="E12" t="n">
        <x:v>1</x:v>
      </x:c>
      <x:c r="F12" t="n">
        <x:v>2</x:v>
      </x:c>
      <x:c r="G12" s="33" t="n">
        <x:v>0.019884331548003283</x:v>
      </x:c>
      <x:c r="H12" s="33" t="n">
        <x:v>0.0196078431372549</x:v>
      </x:c>
      <x:c r="I12" s="33" t="n">
        <x:v>0.0392156862745098</x:v>
      </x:c>
    </x:row>
    <x:row r="13">
      <x:c r="A13" t="str">
        <x:v>outbound</x:v>
      </x:c>
      <x:c r="B13" s="23" t="n">
        <x:v>0.4166666666666667</x:v>
      </x:c>
      <x:c r="C13" s="23" t="n">
        <x:v>0.4375</x:v>
      </x:c>
      <x:c r="D13" s="32" t="n">
        <x:v>60.63398692810458</x:v>
      </x:c>
      <x:c r="E13" t="n">
        <x:v>1</x:v>
      </x:c>
      <x:c r="F13" t="n">
        <x:v>1</x:v>
      </x:c>
      <x:c r="G13" s="33" t="n">
        <x:v>0.04046215042132627</x:v>
      </x:c>
      <x:c r="H13" s="33" t="n">
        <x:v>0.0196078431372549</x:v>
      </x:c>
      <x:c r="I13" s="33" t="n">
        <x:v>0.0196078431372549</x:v>
      </x:c>
    </x:row>
    <x:row r="14">
      <x:c r="A14" t="str">
        <x:v>outbound</x:v>
      </x:c>
      <x:c r="B14" s="23" t="n">
        <x:v>0.4375</x:v>
      </x:c>
      <x:c r="C14" s="23" t="n">
        <x:v>0.4583333333333333</x:v>
      </x:c>
      <x:c r="D14" s="32" t="n">
        <x:v>45.45751633986928</x:v>
      </x:c>
      <x:c r="E14" t="n">
        <x:v>2</x:v>
      </x:c>
      <x:c r="F14" t="n">
        <x:v>2</x:v>
      </x:c>
      <x:c r="G14" s="33" t="n">
        <x:v>0.03033461853835552</x:v>
      </x:c>
      <x:c r="H14" s="33" t="n">
        <x:v>0.0392156862745098</x:v>
      </x:c>
      <x:c r="I14" s="33" t="n">
        <x:v>0.0392156862745098</x:v>
      </x:c>
    </x:row>
    <x:row r="15">
      <x:c r="A15" t="str">
        <x:v>outbound</x:v>
      </x:c>
      <x:c r="B15" s="23" t="n">
        <x:v>0.4583333333333333</x:v>
      </x:c>
      <x:c r="C15" s="23" t="n">
        <x:v>0.4791666666666667</x:v>
      </x:c>
      <x:c r="D15" s="32" t="n">
        <x:v>43.30065359477124</x:v>
      </x:c>
      <x:c r="E15" t="n">
        <x:v>1</x:v>
      </x:c>
      <x:c r="F15" t="n">
        <x:v>1</x:v>
      </x:c>
      <x:c r="G15" s="33" t="n">
        <x:v>0.028895305221654254</x:v>
      </x:c>
      <x:c r="H15" s="33" t="n">
        <x:v>0.0196078431372549</x:v>
      </x:c>
      <x:c r="I15" s="33" t="n">
        <x:v>0.0196078431372549</x:v>
      </x:c>
    </x:row>
    <x:row r="16">
      <x:c r="A16" t="str">
        <x:v>outbound</x:v>
      </x:c>
      <x:c r="B16" s="23" t="n">
        <x:v>0.4791666666666667</x:v>
      </x:c>
      <x:c r="C16" s="23" t="n">
        <x:v>0.5</x:v>
      </x:c>
      <x:c r="D16" s="32" t="n">
        <x:v>71.73202614379085</x:v>
      </x:c>
      <x:c r="E16" t="n">
        <x:v>1</x:v>
      </x:c>
      <x:c r="F16" t="n">
        <x:v>2</x:v>
      </x:c>
      <x:c r="G16" s="33" t="n">
        <x:v>0.04786807166908006</x:v>
      </x:c>
      <x:c r="H16" s="33" t="n">
        <x:v>0.0196078431372549</x:v>
      </x:c>
      <x:c r="I16" s="33" t="n">
        <x:v>0.0392156862745098</x:v>
      </x:c>
    </x:row>
    <x:row r="17">
      <x:c r="A17" t="str">
        <x:v>outbound</x:v>
      </x:c>
      <x:c r="B17" s="23" t="n">
        <x:v>0.5</x:v>
      </x:c>
      <x:c r="C17" s="23" t="n">
        <x:v>0.5208333333333334</x:v>
      </x:c>
      <x:c r="D17" s="32" t="n">
        <x:v>36.34640522875817</x:v>
      </x:c>
      <x:c r="E17" t="n">
        <x:v>2</x:v>
      </x:c>
      <x:c r="F17" t="n">
        <x:v>1</x:v>
      </x:c>
      <x:c r="G17" s="33" t="n">
        <x:v>0.024254610164168952</x:v>
      </x:c>
      <x:c r="H17" s="33" t="n">
        <x:v>0.0392156862745098</x:v>
      </x:c>
      <x:c r="I17" s="33" t="n">
        <x:v>0.0196078431372549</x:v>
      </x:c>
    </x:row>
    <x:row r="18">
      <x:c r="A18" t="str">
        <x:v>outbound</x:v>
      </x:c>
      <x:c r="B18" s="23" t="n">
        <x:v>0.5208333333333334</x:v>
      </x:c>
      <x:c r="C18" s="23" t="n">
        <x:v>0.5416666666666666</x:v>
      </x:c>
      <x:c r="D18" s="32" t="n">
        <x:v>47.35947712418301</x:v>
      </x:c>
      <x:c r="E18" t="n">
        <x:v>1</x:v>
      </x:c>
      <x:c r="F18" t="n">
        <x:v>2</x:v>
      </x:c>
      <x:c r="G18" s="33" t="n">
        <x:v>0.03160383119035573</x:v>
      </x:c>
      <x:c r="H18" s="33" t="n">
        <x:v>0.0196078431372549</x:v>
      </x:c>
      <x:c r="I18" s="33" t="n">
        <x:v>0.0392156862745098</x:v>
      </x:c>
    </x:row>
    <x:row r="19">
      <x:c r="A19" t="str">
        <x:v>outbound</x:v>
      </x:c>
      <x:c r="B19" s="23" t="n">
        <x:v>0.5416666666666666</x:v>
      </x:c>
      <x:c r="C19" s="23" t="n">
        <x:v>0.5625</x:v>
      </x:c>
      <x:c r="D19" s="32" t="n">
        <x:v>30.725490196078432</x:v>
      </x:c>
      <x:c r="E19" t="n">
        <x:v>2</x:v>
      </x:c>
      <x:c r="F19" t="n">
        <x:v>1</x:v>
      </x:c>
      <x:c r="G19" s="33" t="n">
        <x:v>0.02050367242973534</x:v>
      </x:c>
      <x:c r="H19" s="33" t="n">
        <x:v>0.0392156862745098</x:v>
      </x:c>
      <x:c r="I19" s="33" t="n">
        <x:v>0.0196078431372549</x:v>
      </x:c>
    </x:row>
    <x:row r="20">
      <x:c r="A20" t="str">
        <x:v>outbound</x:v>
      </x:c>
      <x:c r="B20" s="23" t="n">
        <x:v>0.5625</x:v>
      </x:c>
      <x:c r="C20" s="23" t="n">
        <x:v>0.5833333333333334</x:v>
      </x:c>
      <x:c r="D20" s="32" t="n">
        <x:v>45.51633986928105</x:v>
      </x:c>
      <x:c r="E20" t="n">
        <x:v>1</x:v>
      </x:c>
      <x:c r="F20" t="n">
        <x:v>2</x:v>
      </x:c>
      <x:c r="G20" s="33" t="n">
        <x:v>0.03037387253790192</x:v>
      </x:c>
      <x:c r="H20" s="33" t="n">
        <x:v>0.0196078431372549</x:v>
      </x:c>
      <x:c r="I20" s="33" t="n">
        <x:v>0.0392156862745098</x:v>
      </x:c>
    </x:row>
    <x:row r="21">
      <x:c r="A21" t="str">
        <x:v>outbound</x:v>
      </x:c>
      <x:c r="B21" s="23" t="n">
        <x:v>0.5833333333333334</x:v>
      </x:c>
      <x:c r="C21" s="23" t="n">
        <x:v>0.6041666666666666</x:v>
      </x:c>
      <x:c r="D21" s="32" t="n">
        <x:v>38.71895424836601</x:v>
      </x:c>
      <x:c r="E21" t="n">
        <x:v>2</x:v>
      </x:c>
      <x:c r="F21" t="n">
        <x:v>1</x:v>
      </x:c>
      <x:c r="G21" s="33" t="n">
        <x:v>0.025837854812540344</x:v>
      </x:c>
      <x:c r="H21" s="33" t="n">
        <x:v>0.0392156862745098</x:v>
      </x:c>
      <x:c r="I21" s="33" t="n">
        <x:v>0.0196078431372549</x:v>
      </x:c>
    </x:row>
    <x:row r="22">
      <x:c r="A22" t="str">
        <x:v>outbound</x:v>
      </x:c>
      <x:c r="B22" s="23" t="n">
        <x:v>0.6041666666666666</x:v>
      </x:c>
      <x:c r="C22" s="23" t="n">
        <x:v>0.625</x:v>
      </x:c>
      <x:c r="D22" s="32" t="n">
        <x:v>58.88235294117647</x:v>
      </x:c>
      <x:c r="E22" t="n">
        <x:v>1</x:v>
      </x:c>
      <x:c r="F22" t="n">
        <x:v>2</x:v>
      </x:c>
      <x:c r="G22" s="33" t="n">
        <x:v>0.03929325354594463</x:v>
      </x:c>
      <x:c r="H22" s="33" t="n">
        <x:v>0.0196078431372549</x:v>
      </x:c>
      <x:c r="I22" s="33" t="n">
        <x:v>0.0392156862745098</x:v>
      </x:c>
    </x:row>
    <x:row r="23">
      <x:c r="A23" t="str">
        <x:v>outbound</x:v>
      </x:c>
      <x:c r="B23" s="23" t="n">
        <x:v>0.625</x:v>
      </x:c>
      <x:c r="C23" s="23" t="n">
        <x:v>0.6458333333333334</x:v>
      </x:c>
      <x:c r="D23" s="32" t="n">
        <x:v>42.35294117647059</x:v>
      </x:c>
      <x:c r="E23" t="n">
        <x:v>2</x:v>
      </x:c>
      <x:c r="F23" t="n">
        <x:v>2</x:v>
      </x:c>
      <x:c r="G23" s="33" t="n">
        <x:v>0.028262879673406724</x:v>
      </x:c>
      <x:c r="H23" s="33" t="n">
        <x:v>0.0392156862745098</x:v>
      </x:c>
      <x:c r="I23" s="33" t="n">
        <x:v>0.0392156862745098</x:v>
      </x:c>
    </x:row>
    <x:row r="24">
      <x:c r="A24" t="str">
        <x:v>outbound</x:v>
      </x:c>
      <x:c r="B24" s="23" t="n">
        <x:v>0.6458333333333334</x:v>
      </x:c>
      <x:c r="C24" s="23" t="n">
        <x:v>0.6666666666666666</x:v>
      </x:c>
      <x:c r="D24" s="32" t="n">
        <x:v>73.20261437908496</x:v>
      </x:c>
      <x:c r="E24" t="n">
        <x:v>1</x:v>
      </x:c>
      <x:c r="F24" t="n">
        <x:v>1</x:v>
      </x:c>
      <x:c r="G24" s="33" t="n">
        <x:v>0.04884942165774002</x:v>
      </x:c>
      <x:c r="H24" s="33" t="n">
        <x:v>0.0196078431372549</x:v>
      </x:c>
      <x:c r="I24" s="33" t="n">
        <x:v>0.0196078431372549</x:v>
      </x:c>
    </x:row>
    <x:row r="25">
      <x:c r="A25" t="str">
        <x:v>outbound</x:v>
      </x:c>
      <x:c r="B25" s="23" t="n">
        <x:v>0.6666666666666666</x:v>
      </x:c>
      <x:c r="C25" s="23" t="n">
        <x:v>0.6875</x:v>
      </x:c>
      <x:c r="D25" s="32" t="n">
        <x:v>50.549019607843135</x:v>
      </x:c>
      <x:c r="E25" t="n">
        <x:v>2</x:v>
      </x:c>
      <x:c r="F25" t="n">
        <x:v>2</x:v>
      </x:c>
      <x:c r="G25" s="33" t="n">
        <x:v>0.03373227027687154</x:v>
      </x:c>
      <x:c r="H25" s="33" t="n">
        <x:v>0.0392156862745098</x:v>
      </x:c>
      <x:c r="I25" s="33" t="n">
        <x:v>0.0392156862745098</x:v>
      </x:c>
      <x:c r="K25" s="20" t="str">
        <x:v>Bucket</x:v>
      </x:c>
      <x:c r="L25" s="21" t="str">
        <x:v>Observed demand profile</x:v>
      </x:c>
      <x:c r="M25" s="21" t="str">
        <x:v>Scenario B/current service</x:v>
      </x:c>
      <x:c r="N25" s="22" t="str">
        <x:v>Final V2 service</x:v>
      </x:c>
    </x:row>
    <x:row r="26">
      <x:c r="A26" t="str">
        <x:v>outbound</x:v>
      </x:c>
      <x:c r="B26" s="23" t="n">
        <x:v>0.6875</x:v>
      </x:c>
      <x:c r="C26" s="23" t="n">
        <x:v>0.7083333333333334</x:v>
      </x:c>
      <x:c r="D26" s="32" t="n">
        <x:v>79.4640522875817</x:v>
      </x:c>
      <x:c r="E26" t="n">
        <x:v>2</x:v>
      </x:c>
      <x:c r="F26" t="n">
        <x:v>3</x:v>
      </x:c>
      <x:c r="G26" s="33" t="n">
        <x:v>0.05302779183167885</x:v>
      </x:c>
      <x:c r="H26" s="33" t="n">
        <x:v>0.0392156862745098</x:v>
      </x:c>
      <x:c r="I26" s="33" t="n">
        <x:v>0.058823529411764705</x:v>
      </x:c>
      <x:c r="K26" t="str">
        <x:f>A2&amp;" "&amp;TEXT(B2,"hh:mm")</x:f>
        <x:v>outbound 04:30</x:v>
      </x:c>
      <x:c r="L26" s="33" t="n">
        <x:f>G2</x:f>
        <x:v>0.006093093040702036</x:v>
      </x:c>
      <x:c r="M26" s="33" t="n">
        <x:f>H2</x:f>
        <x:v>0</x:v>
      </x:c>
      <x:c r="N26" s="33" t="n">
        <x:f>I2</x:f>
        <x:v>0</x:v>
      </x:c>
    </x:row>
    <x:row r="27">
      <x:c r="A27" t="str">
        <x:v>outbound</x:v>
      </x:c>
      <x:c r="B27" s="23" t="n">
        <x:v>0.7083333333333334</x:v>
      </x:c>
      <x:c r="C27" s="23" t="n">
        <x:v>0.7291666666666666</x:v>
      </x:c>
      <x:c r="D27" s="32" t="n">
        <x:v>59.372549019607845</x:v>
      </x:c>
      <x:c r="E27" t="n">
        <x:v>2</x:v>
      </x:c>
      <x:c r="F27" t="n">
        <x:v>1</x:v>
      </x:c>
      <x:c r="G27" s="33" t="n">
        <x:v>0.03962037020883128</x:v>
      </x:c>
      <x:c r="H27" s="33" t="n">
        <x:v>0.0392156862745098</x:v>
      </x:c>
      <x:c r="I27" s="33" t="n">
        <x:v>0.0196078431372549</x:v>
      </x:c>
      <x:c r="K27" t="str">
        <x:f>A3&amp;" "&amp;TEXT(B3,"hh:mm")</x:f>
        <x:v>outbound 05:00</x:v>
      </x:c>
      <x:c r="L27" s="33" t="n">
        <x:f>G3</x:f>
        <x:v>0.02804480189814896</x:v>
      </x:c>
      <x:c r="M27" s="33" t="n">
        <x:f>H3</x:f>
        <x:v>0.0392156862745098</x:v>
      </x:c>
      <x:c r="N27" s="33" t="n">
        <x:f>I3</x:f>
        <x:v>0.0392156862745098</x:v>
      </x:c>
    </x:row>
    <x:row r="28">
      <x:c r="A28" t="str">
        <x:v>outbound</x:v>
      </x:c>
      <x:c r="B28" s="23" t="n">
        <x:v>0.7291666666666666</x:v>
      </x:c>
      <x:c r="C28" s="23" t="n">
        <x:v>0.75</x:v>
      </x:c>
      <x:c r="D28" s="32" t="n">
        <x:v>47.326797385620914</x:v>
      </x:c>
      <x:c r="E28" t="n">
        <x:v>2</x:v>
      </x:c>
      <x:c r="F28" t="n">
        <x:v>2</x:v>
      </x:c>
      <x:c r="G28" s="33" t="n">
        <x:v>0.03158202341282995</x:v>
      </x:c>
      <x:c r="H28" s="33" t="n">
        <x:v>0.0392156862745098</x:v>
      </x:c>
      <x:c r="I28" s="33" t="n">
        <x:v>0.0392156862745098</x:v>
      </x:c>
      <x:c r="K28" t="str">
        <x:f>A4&amp;" "&amp;TEXT(B4,"hh:mm")</x:f>
        <x:v>outbound 05:30</x:v>
      </x:c>
      <x:c r="L28" s="33" t="n">
        <x:f>G4</x:f>
        <x:v>0.041513285298068706</x:v>
      </x:c>
      <x:c r="M28" s="33" t="n">
        <x:f>H4</x:f>
        <x:v>0.0392156862745098</x:v>
      </x:c>
      <x:c r="N28" s="33" t="n">
        <x:f>I4</x:f>
        <x:v>0.0392156862745098</x:v>
      </x:c>
    </x:row>
    <x:row r="29">
      <x:c r="A29" t="str">
        <x:v>outbound</x:v>
      </x:c>
      <x:c r="B29" s="23" t="n">
        <x:v>0.75</x:v>
      </x:c>
      <x:c r="C29" s="23" t="n">
        <x:v>0.7708333333333334</x:v>
      </x:c>
      <x:c r="D29" s="32" t="n">
        <x:v>35.333333333333336</x:v>
      </x:c>
      <x:c r="E29" t="n">
        <x:v>2</x:v>
      </x:c>
      <x:c r="F29" t="n">
        <x:v>2</x:v>
      </x:c>
      <x:c r="G29" s="33" t="n">
        <x:v>0.023578569060869872</x:v>
      </x:c>
      <x:c r="H29" s="33" t="n">
        <x:v>0.0392156862745098</x:v>
      </x:c>
      <x:c r="I29" s="33" t="n">
        <x:v>0.0392156862745098</x:v>
      </x:c>
      <x:c r="K29" t="str">
        <x:f>A5&amp;" "&amp;TEXT(B5,"hh:mm")</x:f>
        <x:v>outbound 06:00</x:v>
      </x:c>
      <x:c r="L29" s="33" t="n">
        <x:f>G5</x:f>
        <x:v>0.030653012090231864</x:v>
      </x:c>
      <x:c r="M29" s="33" t="n">
        <x:f>H5</x:f>
        <x:v>0.0392156862745098</x:v>
      </x:c>
      <x:c r="N29" s="33" t="n">
        <x:f>I5</x:f>
        <x:v>0.0196078431372549</x:v>
      </x:c>
    </x:row>
    <x:row r="30">
      <x:c r="A30" t="str">
        <x:v>outbound</x:v>
      </x:c>
      <x:c r="B30" s="23" t="n">
        <x:v>0.7708333333333334</x:v>
      </x:c>
      <x:c r="C30" s="23" t="n">
        <x:v>0.7916666666666666</x:v>
      </x:c>
      <x:c r="D30" s="32" t="n">
        <x:v>26.568627450980394</x:v>
      </x:c>
      <x:c r="E30" t="n">
        <x:v>1</x:v>
      </x:c>
      <x:c r="F30" t="n">
        <x:v>1</x:v>
      </x:c>
      <x:c r="G30" s="33" t="n">
        <x:v>0.017729723128456536</x:v>
      </x:c>
      <x:c r="H30" s="33" t="n">
        <x:v>0.0196078431372549</x:v>
      </x:c>
      <x:c r="I30" s="33" t="n">
        <x:v>0.0196078431372549</x:v>
      </x:c>
      <x:c r="K30" t="str">
        <x:f>A6&amp;" "&amp;TEXT(B6,"hh:mm")</x:f>
        <x:v>outbound 06:30</x:v>
      </x:c>
      <x:c r="L30" s="33" t="n">
        <x:f>G6</x:f>
        <x:v>0.053516286048256256</x:v>
      </x:c>
      <x:c r="M30" s="33" t="n">
        <x:f>H6</x:f>
        <x:v>0.0196078431372549</x:v>
      </x:c>
      <x:c r="N30" s="33" t="n">
        <x:f>I6</x:f>
        <x:v>0.0392156862745098</x:v>
      </x:c>
    </x:row>
    <x:row r="31">
      <x:c r="A31" t="str">
        <x:v>outbound</x:v>
      </x:c>
      <x:c r="B31" s="23" t="n">
        <x:v>0.7916666666666666</x:v>
      </x:c>
      <x:c r="C31" s="23" t="n">
        <x:v>0.8125</x:v>
      </x:c>
      <x:c r="D31" s="32" t="n">
        <x:v>17.274509803921568</x:v>
      </x:c>
      <x:c r="E31" t="n">
        <x:v>2</x:v>
      </x:c>
      <x:c r="F31" t="n">
        <x:v>2</x:v>
      </x:c>
      <x:c r="G31" s="33" t="n">
        <x:v>0.011527591200125612</x:v>
      </x:c>
      <x:c r="H31" s="33" t="n">
        <x:v>0.0392156862745098</x:v>
      </x:c>
      <x:c r="I31" s="33" t="n">
        <x:v>0.0392156862745098</x:v>
      </x:c>
      <x:c r="K31" t="str">
        <x:f>A7&amp;" "&amp;TEXT(B7,"hh:mm")</x:f>
        <x:v>outbound 07:00</x:v>
      </x:c>
      <x:c r="L31" s="33" t="n">
        <x:f>G7</x:f>
        <x:v>0.034984036706851136</x:v>
      </x:c>
      <x:c r="M31" s="33" t="n">
        <x:f>H7</x:f>
        <x:v>0.0392156862745098</x:v>
      </x:c>
      <x:c r="N31" s="33" t="n">
        <x:f>I7</x:f>
        <x:v>0.0196078431372549</x:v>
      </x:c>
    </x:row>
    <x:row r="32">
      <x:c r="A32" t="str">
        <x:v>outbound</x:v>
      </x:c>
      <x:c r="B32" s="23" t="n">
        <x:v>0.8125</x:v>
      </x:c>
      <x:c r="C32" s="23" t="n">
        <x:v>0.8333333333333334</x:v>
      </x:c>
      <x:c r="D32" s="32" t="n">
        <x:v>21.54901960784314</x:v>
      </x:c>
      <x:c r="E32" t="n">
        <x:v>1</x:v>
      </x:c>
      <x:c r="F32" t="n">
        <x:v>1</x:v>
      </x:c>
      <x:c r="G32" s="33" t="n">
        <x:v>0.01438004850049722</x:v>
      </x:c>
      <x:c r="H32" s="33" t="n">
        <x:v>0.0196078431372549</x:v>
      </x:c>
      <x:c r="I32" s="33" t="n">
        <x:v>0.0196078431372549</x:v>
      </x:c>
      <x:c r="K32" t="str">
        <x:f>A8&amp;" "&amp;TEXT(B8,"hh:mm")</x:f>
        <x:v>outbound 07:30</x:v>
      </x:c>
      <x:c r="L32" s="33" t="n">
        <x:f>G8</x:f>
        <x:v>0.04712660723320365</x:v>
      </x:c>
      <x:c r="M32" s="33" t="n">
        <x:f>H8</x:f>
        <x:v>0.0196078431372549</x:v>
      </x:c>
      <x:c r="N32" s="33" t="n">
        <x:f>I8</x:f>
        <x:v>0.0392156862745098</x:v>
      </x:c>
    </x:row>
    <x:row r="33">
      <x:c r="A33" t="str">
        <x:v>outbound</x:v>
      </x:c>
      <x:c r="B33" s="23" t="n">
        <x:v>0.8333333333333334</x:v>
      </x:c>
      <x:c r="C33" s="23" t="n">
        <x:v>0.8541666666666666</x:v>
      </x:c>
      <x:c r="D33" s="32" t="n">
        <x:v>13.555555555555555</x:v>
      </x:c>
      <x:c r="E33" t="n">
        <x:v>2</x:v>
      </x:c>
      <x:c r="F33" t="n">
        <x:v>1</x:v>
      </x:c>
      <x:c r="G33" s="33" t="n">
        <x:v>0.009045866117692215</x:v>
      </x:c>
      <x:c r="H33" s="33" t="n">
        <x:v>0.0392156862745098</x:v>
      </x:c>
      <x:c r="I33" s="33" t="n">
        <x:v>0.0196078431372549</x:v>
      </x:c>
      <x:c r="K33" t="str">
        <x:f>A9&amp;" "&amp;TEXT(B9,"hh:mm")</x:f>
        <x:v>outbound 08:00</x:v>
      </x:c>
      <x:c r="L33" s="33" t="n">
        <x:f>G9</x:f>
        <x:v>0.028816797222561457</x:v>
      </x:c>
      <x:c r="M33" s="33" t="n">
        <x:f>H9</x:f>
        <x:v>0.0392156862745098</x:v>
      </x:c>
      <x:c r="N33" s="33" t="n">
        <x:f>I9</x:f>
        <x:v>0.0196078431372549</x:v>
      </x:c>
    </x:row>
    <x:row r="34">
      <x:c r="A34" t="str">
        <x:v>outbound</x:v>
      </x:c>
      <x:c r="B34" s="23" t="n">
        <x:v>0.8541666666666666</x:v>
      </x:c>
      <x:c r="C34" s="23" t="n">
        <x:v>0.875</x:v>
      </x:c>
      <x:c r="D34" s="32" t="n">
        <x:v>15.732026143790849</x:v>
      </x:c>
      <x:c r="E34" t="n">
        <x:v>1</x:v>
      </x:c>
      <x:c r="F34" t="n">
        <x:v>1</x:v>
      </x:c>
      <x:c r="G34" s="33" t="n">
        <x:v>0.010498264100908948</x:v>
      </x:c>
      <x:c r="H34" s="33" t="n">
        <x:v>0.0196078431372549</x:v>
      </x:c>
      <x:c r="I34" s="33" t="n">
        <x:v>0.0196078431372549</x:v>
      </x:c>
      <x:c r="K34" t="str">
        <x:f>A10&amp;" "&amp;TEXT(B10,"hh:mm")</x:f>
        <x:v>outbound 08:30</x:v>
      </x:c>
      <x:c r="L34" s="33" t="n">
        <x:f>G10</x:f>
        <x:v>0.04056682775345</x:v>
      </x:c>
      <x:c r="M34" s="33" t="n">
        <x:f>H10</x:f>
        <x:v>0.0196078431372549</x:v>
      </x:c>
      <x:c r="N34" s="33" t="n">
        <x:f>I10</x:f>
        <x:v>0.0392156862745098</x:v>
      </x:c>
    </x:row>
    <x:row r="35">
      <x:c r="A35" t="str">
        <x:v>outbound</x:v>
      </x:c>
      <x:c r="B35" s="23" t="n">
        <x:v>0.875</x:v>
      </x:c>
      <x:c r="C35" s="23" t="n">
        <x:v>0.8958333333333334</x:v>
      </x:c>
      <x:c r="D35" s="32" t="n">
        <x:v>4.222222222222222</x:v>
      </x:c>
      <x:c r="E35" t="n">
        <x:v>1</x:v>
      </x:c>
      <x:c r="F35" t="n">
        <x:v>1</x:v>
      </x:c>
      <x:c r="G35" s="33" t="n">
        <x:v>0.002817564856330362</x:v>
      </x:c>
      <x:c r="H35" s="33" t="n">
        <x:v>0.0196078431372549</x:v>
      </x:c>
      <x:c r="I35" s="33" t="n">
        <x:v>0.0196078431372549</x:v>
      </x:c>
      <x:c r="K35" t="str">
        <x:f>A11&amp;" "&amp;TEXT(B11,"hh:mm")</x:f>
        <x:v>outbound 09:00</x:v>
      </x:c>
      <x:c r="L35" s="33" t="n">
        <x:f>G11</x:f>
        <x:v>0.024721296603220578</x:v>
      </x:c>
      <x:c r="M35" s="33" t="n">
        <x:f>H11</x:f>
        <x:v>0.0392156862745098</x:v>
      </x:c>
      <x:c r="N35" s="33" t="n">
        <x:f>I11</x:f>
        <x:v>0.0196078431372549</x:v>
      </x:c>
    </x:row>
    <x:row r="36">
      <x:c r="A36" t="str">
        <x:v>inbound</x:v>
      </x:c>
      <x:c r="B36" s="23" t="n">
        <x:v>0.1875</x:v>
      </x:c>
      <x:c r="C36" s="23" t="n">
        <x:v>0.20833333333333334</x:v>
      </x:c>
      <x:c r="D36" s="32" t="n">
        <x:v>42.90196078431372</x:v>
      </x:c>
      <x:c r="E36" t="n">
        <x:v>1</x:v>
      </x:c>
      <x:c r="F36" t="n">
        <x:v>1</x:v>
      </x:c>
      <x:c r="G36" s="33" t="n">
        <x:v>0.03250019805117642</x:v>
      </x:c>
      <x:c r="H36" s="33" t="n">
        <x:v>0.0196078431372549</x:v>
      </x:c>
      <x:c r="I36" s="33" t="n">
        <x:v>0.0196078431372549</x:v>
      </x:c>
      <x:c r="K36" t="str">
        <x:f>A12&amp;" "&amp;TEXT(B12,"hh:mm")</x:f>
        <x:v>outbound 09:30</x:v>
      </x:c>
      <x:c r="L36" s="33" t="n">
        <x:f>G12</x:f>
        <x:v>0.019884331548003283</x:v>
      </x:c>
      <x:c r="M36" s="33" t="n">
        <x:f>H12</x:f>
        <x:v>0.0196078431372549</x:v>
      </x:c>
      <x:c r="N36" s="33" t="n">
        <x:f>I12</x:f>
        <x:v>0.0392156862745098</x:v>
      </x:c>
    </x:row>
    <x:row r="37">
      <x:c r="A37" t="str">
        <x:v>inbound</x:v>
      </x:c>
      <x:c r="B37" s="23" t="n">
        <x:v>0.20833333333333334</x:v>
      </x:c>
      <x:c r="C37" s="23" t="n">
        <x:v>0.22916666666666666</x:v>
      </x:c>
      <x:c r="D37" s="32" t="n">
        <x:v>54.61437908496732</x:v>
      </x:c>
      <x:c r="E37" t="n">
        <x:v>2</x:v>
      </x:c>
      <x:c r="F37" t="n">
        <x:v>2</x:v>
      </x:c>
      <x:c r="G37" s="33" t="n">
        <x:v>0.04137289075497108</x:v>
      </x:c>
      <x:c r="H37" s="33" t="n">
        <x:v>0.0392156862745098</x:v>
      </x:c>
      <x:c r="I37" s="33" t="n">
        <x:v>0.0392156862745098</x:v>
      </x:c>
      <x:c r="K37" t="str">
        <x:f>A13&amp;" "&amp;TEXT(B13,"hh:mm")</x:f>
        <x:v>outbound 10:00</x:v>
      </x:c>
      <x:c r="L37" s="33" t="n">
        <x:f>G13</x:f>
        <x:v>0.04046215042132627</x:v>
      </x:c>
      <x:c r="M37" s="33" t="n">
        <x:f>H13</x:f>
        <x:v>0.0196078431372549</x:v>
      </x:c>
      <x:c r="N37" s="33" t="n">
        <x:f>I13</x:f>
        <x:v>0.0196078431372549</x:v>
      </x:c>
    </x:row>
    <x:row r="38">
      <x:c r="A38" t="str">
        <x:v>inbound</x:v>
      </x:c>
      <x:c r="B38" s="23" t="n">
        <x:v>0.22916666666666666</x:v>
      </x:c>
      <x:c r="C38" s="23" t="n">
        <x:v>0.25</x:v>
      </x:c>
      <x:c r="D38" s="32" t="n">
        <x:v>67.3529411764706</x:v>
      </x:c>
      <x:c r="E38" t="n">
        <x:v>2</x:v>
      </x:c>
      <x:c r="F38" t="n">
        <x:v>1</x:v>
      </x:c>
      <x:c r="G38" s="33" t="n">
        <x:v>0.0510229343262299</x:v>
      </x:c>
      <x:c r="H38" s="33" t="n">
        <x:v>0.0392156862745098</x:v>
      </x:c>
      <x:c r="I38" s="33" t="n">
        <x:v>0.0196078431372549</x:v>
      </x:c>
      <x:c r="K38" t="str">
        <x:f>A14&amp;" "&amp;TEXT(B14,"hh:mm")</x:f>
        <x:v>outbound 10:30</x:v>
      </x:c>
      <x:c r="L38" s="33" t="n">
        <x:f>G14</x:f>
        <x:v>0.03033461853835552</x:v>
      </x:c>
      <x:c r="M38" s="33" t="n">
        <x:f>H14</x:f>
        <x:v>0.0392156862745098</x:v>
      </x:c>
      <x:c r="N38" s="33" t="n">
        <x:f>I14</x:f>
        <x:v>0.0392156862745098</x:v>
      </x:c>
    </x:row>
    <x:row r="39">
      <x:c r="A39" t="str">
        <x:v>inbound</x:v>
      </x:c>
      <x:c r="B39" s="23" t="n">
        <x:v>0.25</x:v>
      </x:c>
      <x:c r="C39" s="23" t="n">
        <x:v>0.2708333333333333</x:v>
      </x:c>
      <x:c r="D39" s="32" t="n">
        <x:v>55.790849673202615</x:v>
      </x:c>
      <x:c r="E39" t="n">
        <x:v>2</x:v>
      </x:c>
      <x:c r="F39" t="n">
        <x:v>2</x:v>
      </x:c>
      <x:c r="G39" s="33" t="n">
        <x:v>0.04226412104887903</x:v>
      </x:c>
      <x:c r="H39" s="33" t="n">
        <x:v>0.0392156862745098</x:v>
      </x:c>
      <x:c r="I39" s="33" t="n">
        <x:v>0.0392156862745098</x:v>
      </x:c>
      <x:c r="K39" t="str">
        <x:f>A15&amp;" "&amp;TEXT(B15,"hh:mm")</x:f>
        <x:v>outbound 11:00</x:v>
      </x:c>
      <x:c r="L39" s="33" t="n">
        <x:f>G15</x:f>
        <x:v>0.028895305221654254</x:v>
      </x:c>
      <x:c r="M39" s="33" t="n">
        <x:f>H15</x:f>
        <x:v>0.0196078431372549</x:v>
      </x:c>
      <x:c r="N39" s="33" t="n">
        <x:f>I15</x:f>
        <x:v>0.0196078431372549</x:v>
      </x:c>
    </x:row>
    <x:row r="40">
      <x:c r="A40" t="str">
        <x:v>inbound</x:v>
      </x:c>
      <x:c r="B40" s="23" t="n">
        <x:v>0.2708333333333333</x:v>
      </x:c>
      <x:c r="C40" s="23" t="n">
        <x:v>0.2916666666666667</x:v>
      </x:c>
      <x:c r="D40" s="32" t="n">
        <x:v>48.36601307189542</x:v>
      </x:c>
      <x:c r="E40" t="n">
        <x:v>1</x:v>
      </x:c>
      <x:c r="F40" t="n">
        <x:v>2</x:v>
      </x:c>
      <x:c r="G40" s="33" t="n">
        <x:v>0.03663946763843777</x:v>
      </x:c>
      <x:c r="H40" s="33" t="n">
        <x:v>0.0196078431372549</x:v>
      </x:c>
      <x:c r="I40" s="33" t="n">
        <x:v>0.0392156862745098</x:v>
      </x:c>
      <x:c r="K40" t="str">
        <x:f>A16&amp;" "&amp;TEXT(B16,"hh:mm")</x:f>
        <x:v>outbound 11:30</x:v>
      </x:c>
      <x:c r="L40" s="33" t="n">
        <x:f>G16</x:f>
        <x:v>0.04786807166908006</x:v>
      </x:c>
      <x:c r="M40" s="33" t="n">
        <x:f>H16</x:f>
        <x:v>0.0196078431372549</x:v>
      </x:c>
      <x:c r="N40" s="33" t="n">
        <x:f>I16</x:f>
        <x:v>0.0392156862745098</x:v>
      </x:c>
    </x:row>
    <x:row r="41">
      <x:c r="A41" t="str">
        <x:v>inbound</x:v>
      </x:c>
      <x:c r="B41" s="23" t="n">
        <x:v>0.2916666666666667</x:v>
      </x:c>
      <x:c r="C41" s="23" t="n">
        <x:v>0.3125</x:v>
      </x:c>
      <x:c r="D41" s="32" t="n">
        <x:v>40.93464052287582</x:v>
      </x:c>
      <x:c r="E41" t="n">
        <x:v>2</x:v>
      </x:c>
      <x:c r="F41" t="n">
        <x:v>1</x:v>
      </x:c>
      <x:c r="G41" s="33" t="n">
        <x:v>0.031009862948585914</x:v>
      </x:c>
      <x:c r="H41" s="33" t="n">
        <x:v>0.0392156862745098</x:v>
      </x:c>
      <x:c r="I41" s="33" t="n">
        <x:v>0.0196078431372549</x:v>
      </x:c>
      <x:c r="K41" t="str">
        <x:f>A17&amp;" "&amp;TEXT(B17,"hh:mm")</x:f>
        <x:v>outbound 12:00</x:v>
      </x:c>
      <x:c r="L41" s="33" t="n">
        <x:f>G17</x:f>
        <x:v>0.024254610164168952</x:v>
      </x:c>
      <x:c r="M41" s="33" t="n">
        <x:f>H17</x:f>
        <x:v>0.0392156862745098</x:v>
      </x:c>
      <x:c r="N41" s="33" t="n">
        <x:f>I17</x:f>
        <x:v>0.0196078431372549</x:v>
      </x:c>
    </x:row>
    <x:row r="42">
      <x:c r="A42" t="str">
        <x:v>inbound</x:v>
      </x:c>
      <x:c r="B42" s="23" t="n">
        <x:v>0.3125</x:v>
      </x:c>
      <x:c r="C42" s="23" t="n">
        <x:v>0.3333333333333333</x:v>
      </x:c>
      <x:c r="D42" s="32" t="n">
        <x:v>36.15686274509804</x:v>
      </x:c>
      <x:c r="E42" t="n">
        <x:v>1</x:v>
      </x:c>
      <x:c r="F42" t="n">
        <x:v>2</x:v>
      </x:c>
      <x:c r="G42" s="33" t="n">
        <x:v>0.027390477699437532</x:v>
      </x:c>
      <x:c r="H42" s="33" t="n">
        <x:v>0.0196078431372549</x:v>
      </x:c>
      <x:c r="I42" s="33" t="n">
        <x:v>0.0392156862745098</x:v>
      </x:c>
      <x:c r="K42" t="str">
        <x:f>A18&amp;" "&amp;TEXT(B18,"hh:mm")</x:f>
        <x:v>outbound 12:30</x:v>
      </x:c>
      <x:c r="L42" s="33" t="n">
        <x:f>G18</x:f>
        <x:v>0.03160383119035573</x:v>
      </x:c>
      <x:c r="M42" s="33" t="n">
        <x:f>H18</x:f>
        <x:v>0.0196078431372549</x:v>
      </x:c>
      <x:c r="N42" s="33" t="n">
        <x:f>I18</x:f>
        <x:v>0.0392156862745098</x:v>
      </x:c>
    </x:row>
    <x:row r="43">
      <x:c r="A43" t="str">
        <x:v>inbound</x:v>
      </x:c>
      <x:c r="B43" s="23" t="n">
        <x:v>0.3333333333333333</x:v>
      </x:c>
      <x:c r="C43" s="23" t="n">
        <x:v>0.3541666666666667</x:v>
      </x:c>
      <x:c r="D43" s="32" t="n">
        <x:v>35.091503267973856</x:v>
      </x:c>
      <x:c r="E43" t="n">
        <x:v>2</x:v>
      </x:c>
      <x:c r="F43" t="n">
        <x:v>1</x:v>
      </x:c>
      <x:c r="G43" s="33" t="n">
        <x:v>0.026583419155509783</x:v>
      </x:c>
      <x:c r="H43" s="33" t="n">
        <x:v>0.0392156862745098</x:v>
      </x:c>
      <x:c r="I43" s="33" t="n">
        <x:v>0.0196078431372549</x:v>
      </x:c>
      <x:c r="K43" t="str">
        <x:f>A19&amp;" "&amp;TEXT(B19,"hh:mm")</x:f>
        <x:v>outbound 13:00</x:v>
      </x:c>
      <x:c r="L43" s="33" t="n">
        <x:f>G19</x:f>
        <x:v>0.02050367242973534</x:v>
      </x:c>
      <x:c r="M43" s="33" t="n">
        <x:f>H19</x:f>
        <x:v>0.0392156862745098</x:v>
      </x:c>
      <x:c r="N43" s="33" t="n">
        <x:f>I19</x:f>
        <x:v>0.0196078431372549</x:v>
      </x:c>
    </x:row>
    <x:row r="44">
      <x:c r="A44" t="str">
        <x:v>inbound</x:v>
      </x:c>
      <x:c r="B44" s="23" t="n">
        <x:v>0.3541666666666667</x:v>
      </x:c>
      <x:c r="C44" s="23" t="n">
        <x:v>0.375</x:v>
      </x:c>
      <x:c r="D44" s="32" t="n">
        <x:v>40.02614379084967</x:v>
      </x:c>
      <x:c r="E44" t="n">
        <x:v>1</x:v>
      </x:c>
      <x:c r="F44" t="n">
        <x:v>2</x:v>
      </x:c>
      <x:c r="G44" s="33" t="n">
        <x:v>0.030321635110512557</x:v>
      </x:c>
      <x:c r="H44" s="33" t="n">
        <x:v>0.0196078431372549</x:v>
      </x:c>
      <x:c r="I44" s="33" t="n">
        <x:v>0.0392156862745098</x:v>
      </x:c>
      <x:c r="K44" t="str">
        <x:f>A20&amp;" "&amp;TEXT(B20,"hh:mm")</x:f>
        <x:v>outbound 13:30</x:v>
      </x:c>
      <x:c r="L44" s="33" t="n">
        <x:f>G20</x:f>
        <x:v>0.03037387253790192</x:v>
      </x:c>
      <x:c r="M44" s="33" t="n">
        <x:f>H20</x:f>
        <x:v>0.0196078431372549</x:v>
      </x:c>
      <x:c r="N44" s="33" t="n">
        <x:f>I20</x:f>
        <x:v>0.0392156862745098</x:v>
      </x:c>
    </x:row>
    <x:row r="45">
      <x:c r="A45" t="str">
        <x:v>inbound</x:v>
      </x:c>
      <x:c r="B45" s="23" t="n">
        <x:v>0.375</x:v>
      </x:c>
      <x:c r="C45" s="23" t="n">
        <x:v>0.3958333333333333</x:v>
      </x:c>
      <x:c r="D45" s="32" t="n">
        <x:v>30.15686274509804</x:v>
      </x:c>
      <x:c r="E45" t="n">
        <x:v>2</x:v>
      </x:c>
      <x:c r="F45" t="n">
        <x:v>1</x:v>
      </x:c>
      <x:c r="G45" s="33" t="n">
        <x:v>0.02284520320050701</x:v>
      </x:c>
      <x:c r="H45" s="33" t="n">
        <x:v>0.0392156862745098</x:v>
      </x:c>
      <x:c r="I45" s="33" t="n">
        <x:v>0.0196078431372549</x:v>
      </x:c>
      <x:c r="K45" t="str">
        <x:f>A21&amp;" "&amp;TEXT(B21,"hh:mm")</x:f>
        <x:v>outbound 14:00</x:v>
      </x:c>
      <x:c r="L45" s="33" t="n">
        <x:f>G21</x:f>
        <x:v>0.025837854812540344</x:v>
      </x:c>
      <x:c r="M45" s="33" t="n">
        <x:f>H21</x:f>
        <x:v>0.0392156862745098</x:v>
      </x:c>
      <x:c r="N45" s="33" t="n">
        <x:f>I21</x:f>
        <x:v>0.0196078431372549</x:v>
      </x:c>
    </x:row>
    <x:row r="46">
      <x:c r="A46" t="str">
        <x:v>inbound</x:v>
      </x:c>
      <x:c r="B46" s="23" t="n">
        <x:v>0.3958333333333333</x:v>
      </x:c>
      <x:c r="C46" s="23" t="n">
        <x:v>0.4166666666666667</x:v>
      </x:c>
      <x:c r="D46" s="32" t="n">
        <x:v>41.45751633986928</x:v>
      </x:c>
      <x:c r="E46" t="n">
        <x:v>1</x:v>
      </x:c>
      <x:c r="F46" t="n">
        <x:v>2</x:v>
      </x:c>
      <x:c r="G46" s="33" t="n">
        <x:v>0.031405965301433886</x:v>
      </x:c>
      <x:c r="H46" s="33" t="n">
        <x:v>0.0196078431372549</x:v>
      </x:c>
      <x:c r="I46" s="33" t="n">
        <x:v>0.0392156862745098</x:v>
      </x:c>
      <x:c r="K46" t="str">
        <x:f>A22&amp;" "&amp;TEXT(B22,"hh:mm")</x:f>
        <x:v>outbound 14:30</x:v>
      </x:c>
      <x:c r="L46" s="33" t="n">
        <x:f>G22</x:f>
        <x:v>0.03929325354594463</x:v>
      </x:c>
      <x:c r="M46" s="33" t="n">
        <x:f>H22</x:f>
        <x:v>0.0196078431372549</x:v>
      </x:c>
      <x:c r="N46" s="33" t="n">
        <x:f>I22</x:f>
        <x:v>0.0392156862745098</x:v>
      </x:c>
    </x:row>
    <x:row r="47">
      <x:c r="A47" t="str">
        <x:v>inbound</x:v>
      </x:c>
      <x:c r="B47" s="23" t="n">
        <x:v>0.4166666666666667</x:v>
      </x:c>
      <x:c r="C47" s="23" t="n">
        <x:v>0.4375</x:v>
      </x:c>
      <x:c r="D47" s="32" t="n">
        <x:v>37.63398692810458</x:v>
      </x:c>
      <x:c r="E47" t="n">
        <x:v>2</x:v>
      </x:c>
      <x:c r="F47" t="n">
        <x:v>2</x:v>
      </x:c>
      <x:c r="G47" s="33" t="n">
        <x:v>0.028509466846233067</x:v>
      </x:c>
      <x:c r="H47" s="33" t="n">
        <x:v>0.0392156862745098</x:v>
      </x:c>
      <x:c r="I47" s="33" t="n">
        <x:v>0.0392156862745098</x:v>
      </x:c>
      <x:c r="K47" t="str">
        <x:f>A23&amp;" "&amp;TEXT(B23,"hh:mm")</x:f>
        <x:v>outbound 15:00</x:v>
      </x:c>
      <x:c r="L47" s="33" t="n">
        <x:f>G23</x:f>
        <x:v>0.028262879673406724</x:v>
      </x:c>
      <x:c r="M47" s="33" t="n">
        <x:f>H23</x:f>
        <x:v>0.0392156862745098</x:v>
      </x:c>
      <x:c r="N47" s="33" t="n">
        <x:f>I23</x:f>
        <x:v>0.0392156862745098</x:v>
      </x:c>
    </x:row>
    <x:row r="48">
      <x:c r="A48" t="str">
        <x:v>inbound</x:v>
      </x:c>
      <x:c r="B48" s="23" t="n">
        <x:v>0.4375</x:v>
      </x:c>
      <x:c r="C48" s="23" t="n">
        <x:v>0.4583333333333333</x:v>
      </x:c>
      <x:c r="D48" s="32" t="n">
        <x:v>54.73856209150327</x:v>
      </x:c>
      <x:c r="E48" t="n">
        <x:v>1</x:v>
      </x:c>
      <x:c r="F48" t="n">
        <x:v>1</x:v>
      </x:c>
      <x:c r="G48" s="33" t="n">
        <x:v>0.04146696506377248</x:v>
      </x:c>
      <x:c r="H48" s="33" t="n">
        <x:v>0.0196078431372549</x:v>
      </x:c>
      <x:c r="I48" s="33" t="n">
        <x:v>0.0196078431372549</x:v>
      </x:c>
      <x:c r="K48" t="str">
        <x:f>A24&amp;" "&amp;TEXT(B24,"hh:mm")</x:f>
        <x:v>outbound 15:30</x:v>
      </x:c>
      <x:c r="L48" s="33" t="n">
        <x:f>G24</x:f>
        <x:v>0.04884942165774002</x:v>
      </x:c>
      <x:c r="M48" s="33" t="n">
        <x:f>H24</x:f>
        <x:v>0.0196078431372549</x:v>
      </x:c>
      <x:c r="N48" s="33" t="n">
        <x:f>I24</x:f>
        <x:v>0.0196078431372549</x:v>
      </x:c>
    </x:row>
    <x:row r="49">
      <x:c r="A49" t="str">
        <x:v>inbound</x:v>
      </x:c>
      <x:c r="B49" s="23" t="n">
        <x:v>0.4583333333333333</x:v>
      </x:c>
      <x:c r="C49" s="23" t="n">
        <x:v>0.4791666666666667</x:v>
      </x:c>
      <x:c r="D49" s="32" t="n">
        <x:v>38.77124183006536</x:v>
      </x:c>
      <x:c r="E49" t="n">
        <x:v>2</x:v>
      </x:c>
      <x:c r="F49" t="n">
        <x:v>2</x:v>
      </x:c>
      <x:c r="G49" s="33" t="n">
        <x:v>0.029370989463677413</x:v>
      </x:c>
      <x:c r="H49" s="33" t="n">
        <x:v>0.0392156862745098</x:v>
      </x:c>
      <x:c r="I49" s="33" t="n">
        <x:v>0.0392156862745098</x:v>
      </x:c>
      <x:c r="K49" t="str">
        <x:f>A25&amp;" "&amp;TEXT(B25,"hh:mm")</x:f>
        <x:v>outbound 16:00</x:v>
      </x:c>
      <x:c r="L49" s="33" t="n">
        <x:f>G25</x:f>
        <x:v>0.03373227027687154</x:v>
      </x:c>
      <x:c r="M49" s="33" t="n">
        <x:f>H25</x:f>
        <x:v>0.0392156862745098</x:v>
      </x:c>
      <x:c r="N49" s="33" t="n">
        <x:f>I25</x:f>
        <x:v>0.0392156862745098</x:v>
      </x:c>
    </x:row>
    <x:row r="50">
      <x:c r="A50" t="str">
        <x:v>inbound</x:v>
      </x:c>
      <x:c r="B50" s="23" t="n">
        <x:v>0.4791666666666667</x:v>
      </x:c>
      <x:c r="C50" s="23" t="n">
        <x:v>0.5</x:v>
      </x:c>
      <x:c r="D50" s="32" t="n">
        <x:v>38.509803921568626</x:v>
      </x:c>
      <x:c r="E50" t="n">
        <x:v>1</x:v>
      </x:c>
      <x:c r="F50" t="n">
        <x:v>1</x:v>
      </x:c>
      <x:c r="G50" s="33" t="n">
        <x:v>0.029172938287253425</x:v>
      </x:c>
      <x:c r="H50" s="33" t="n">
        <x:v>0.0196078431372549</x:v>
      </x:c>
      <x:c r="I50" s="33" t="n">
        <x:v>0.0196078431372549</x:v>
      </x:c>
      <x:c r="K50" t="str">
        <x:f>A26&amp;" "&amp;TEXT(B26,"hh:mm")</x:f>
        <x:v>outbound 16:30</x:v>
      </x:c>
      <x:c r="L50" s="33" t="n">
        <x:f>G26</x:f>
        <x:v>0.05302779183167885</x:v>
      </x:c>
      <x:c r="M50" s="33" t="n">
        <x:f>H26</x:f>
        <x:v>0.0392156862745098</x:v>
      </x:c>
      <x:c r="N50" s="33" t="n">
        <x:f>I26</x:f>
        <x:v>0.058823529411764705</x:v>
      </x:c>
    </x:row>
    <x:row r="51">
      <x:c r="A51" t="str">
        <x:v>inbound</x:v>
      </x:c>
      <x:c r="B51" s="23" t="n">
        <x:v>0.5</x:v>
      </x:c>
      <x:c r="C51" s="23" t="n">
        <x:v>0.5208333333333334</x:v>
      </x:c>
      <x:c r="D51" s="32" t="n">
        <x:v>31.15032679738562</x:v>
      </x:c>
      <x:c r="E51" t="n">
        <x:v>2</x:v>
      </x:c>
      <x:c r="F51" t="n">
        <x:v>2</x:v>
      </x:c>
      <x:c r="G51" s="33" t="n">
        <x:v>0.023597797670918165</x:v>
      </x:c>
      <x:c r="H51" s="33" t="n">
        <x:v>0.0392156862745098</x:v>
      </x:c>
      <x:c r="I51" s="33" t="n">
        <x:v>0.0392156862745098</x:v>
      </x:c>
      <x:c r="K51" t="str">
        <x:f>A27&amp;" "&amp;TEXT(B27,"hh:mm")</x:f>
        <x:v>outbound 17:00</x:v>
      </x:c>
      <x:c r="L51" s="33" t="n">
        <x:f>G27</x:f>
        <x:v>0.03962037020883128</x:v>
      </x:c>
      <x:c r="M51" s="33" t="n">
        <x:f>H27</x:f>
        <x:v>0.0392156862745098</x:v>
      </x:c>
      <x:c r="N51" s="33" t="n">
        <x:f>I27</x:f>
        <x:v>0.0196078431372549</x:v>
      </x:c>
    </x:row>
    <x:row r="52">
      <x:c r="A52" t="str">
        <x:v>inbound</x:v>
      </x:c>
      <x:c r="B52" s="23" t="n">
        <x:v>0.5208333333333334</x:v>
      </x:c>
      <x:c r="C52" s="23" t="n">
        <x:v>0.5416666666666666</x:v>
      </x:c>
      <x:c r="D52" s="32" t="n">
        <x:v>24.764705882352942</x:v>
      </x:c>
      <x:c r="E52" t="n">
        <x:v>1</x:v>
      </x:c>
      <x:c r="F52" t="n">
        <x:v>2</x:v>
      </x:c>
      <x:c r="G52" s="33" t="n">
        <x:v>0.01876039768676226</x:v>
      </x:c>
      <x:c r="H52" s="33" t="n">
        <x:v>0.0196078431372549</x:v>
      </x:c>
      <x:c r="I52" s="33" t="n">
        <x:v>0.0392156862745098</x:v>
      </x:c>
      <x:c r="K52" t="str">
        <x:f>A28&amp;" "&amp;TEXT(B28,"hh:mm")</x:f>
        <x:v>outbound 17:30</x:v>
      </x:c>
      <x:c r="L52" s="33" t="n">
        <x:f>G28</x:f>
        <x:v>0.03158202341282995</x:v>
      </x:c>
      <x:c r="M52" s="33" t="n">
        <x:f>H28</x:f>
        <x:v>0.0392156862745098</x:v>
      </x:c>
      <x:c r="N52" s="33" t="n">
        <x:f>I28</x:f>
        <x:v>0.0392156862745098</x:v>
      </x:c>
    </x:row>
    <x:row r="53">
      <x:c r="A53" t="str">
        <x:v>inbound</x:v>
      </x:c>
      <x:c r="B53" s="23" t="n">
        <x:v>0.5416666666666666</x:v>
      </x:c>
      <x:c r="C53" s="23" t="n">
        <x:v>0.5625</x:v>
      </x:c>
      <x:c r="D53" s="32" t="n">
        <x:v>24.34640522875817</x:v>
      </x:c>
      <x:c r="E53" t="n">
        <x:v>1</x:v>
      </x:c>
      <x:c r="F53" t="n">
        <x:v>1</x:v>
      </x:c>
      <x:c r="G53" s="33" t="n">
        <x:v>0.018443515804483876</x:v>
      </x:c>
      <x:c r="H53" s="33" t="n">
        <x:v>0.0196078431372549</x:v>
      </x:c>
      <x:c r="I53" s="33" t="n">
        <x:v>0.0196078431372549</x:v>
      </x:c>
      <x:c r="K53" t="str">
        <x:f>A29&amp;" "&amp;TEXT(B29,"hh:mm")</x:f>
        <x:v>outbound 18:00</x:v>
      </x:c>
      <x:c r="L53" s="33" t="n">
        <x:f>G29</x:f>
        <x:v>0.023578569060869872</x:v>
      </x:c>
      <x:c r="M53" s="33" t="n">
        <x:f>H29</x:f>
        <x:v>0.0392156862745098</x:v>
      </x:c>
      <x:c r="N53" s="33" t="n">
        <x:f>I29</x:f>
        <x:v>0.0392156862745098</x:v>
      </x:c>
    </x:row>
    <x:row r="54">
      <x:c r="A54" t="str">
        <x:v>inbound</x:v>
      </x:c>
      <x:c r="B54" s="23" t="n">
        <x:v>0.5625</x:v>
      </x:c>
      <x:c r="C54" s="23" t="n">
        <x:v>0.5833333333333334</x:v>
      </x:c>
      <x:c r="D54" s="32" t="n">
        <x:v>42.37908496732026</x:v>
      </x:c>
      <x:c r="E54" t="n">
        <x:v>2</x:v>
      </x:c>
      <x:c r="F54" t="n">
        <x:v>2</x:v>
      </x:c>
      <x:c r="G54" s="33" t="n">
        <x:v>0.03210409569832845</x:v>
      </x:c>
      <x:c r="H54" s="33" t="n">
        <x:v>0.0392156862745098</x:v>
      </x:c>
      <x:c r="I54" s="33" t="n">
        <x:v>0.0392156862745098</x:v>
      </x:c>
      <x:c r="K54" t="str">
        <x:f>A30&amp;" "&amp;TEXT(B30,"hh:mm")</x:f>
        <x:v>outbound 18:30</x:v>
      </x:c>
      <x:c r="L54" s="33" t="n">
        <x:f>G30</x:f>
        <x:v>0.017729723128456536</x:v>
      </x:c>
      <x:c r="M54" s="33" t="n">
        <x:f>H30</x:f>
        <x:v>0.0196078431372549</x:v>
      </x:c>
      <x:c r="N54" s="33" t="n">
        <x:f>I30</x:f>
        <x:v>0.0196078431372549</x:v>
      </x:c>
    </x:row>
    <x:row r="55">
      <x:c r="A55" t="str">
        <x:v>inbound</x:v>
      </x:c>
      <x:c r="B55" s="23" t="n">
        <x:v>0.5833333333333334</x:v>
      </x:c>
      <x:c r="C55" s="23" t="n">
        <x:v>0.6041666666666666</x:v>
      </x:c>
      <x:c r="D55" s="32" t="n">
        <x:v>25.856209150326798</x:v>
      </x:c>
      <x:c r="E55" t="n">
        <x:v>1</x:v>
      </x:c>
      <x:c r="F55" t="n">
        <x:v>1</x:v>
      </x:c>
      <x:c r="G55" s="33" t="n">
        <x:v>0.01958726134833241</x:v>
      </x:c>
      <x:c r="H55" s="33" t="n">
        <x:v>0.0196078431372549</x:v>
      </x:c>
      <x:c r="I55" s="33" t="n">
        <x:v>0.0196078431372549</x:v>
      </x:c>
      <x:c r="K55" t="str">
        <x:f>A31&amp;" "&amp;TEXT(B31,"hh:mm")</x:f>
        <x:v>outbound 19:00</x:v>
      </x:c>
      <x:c r="L55" s="33" t="n">
        <x:f>G31</x:f>
        <x:v>0.011527591200125612</x:v>
      </x:c>
      <x:c r="M55" s="33" t="n">
        <x:f>H31</x:f>
        <x:v>0.0392156862745098</x:v>
      </x:c>
      <x:c r="N55" s="33" t="n">
        <x:f>I31</x:f>
        <x:v>0.0392156862745098</x:v>
      </x:c>
    </x:row>
    <x:row r="56">
      <x:c r="A56" t="str">
        <x:v>inbound</x:v>
      </x:c>
      <x:c r="B56" s="23" t="n">
        <x:v>0.6041666666666666</x:v>
      </x:c>
      <x:c r="C56" s="23" t="n">
        <x:v>0.625</x:v>
      </x:c>
      <x:c r="D56" s="32" t="n">
        <x:v>50.98039215686274</x:v>
      </x:c>
      <x:c r="E56" t="n">
        <x:v>2</x:v>
      </x:c>
      <x:c r="F56" t="n">
        <x:v>2</x:v>
      </x:c>
      <x:c r="G56" s="33" t="n">
        <x:v>0.03861997940267765</x:v>
      </x:c>
      <x:c r="H56" s="33" t="n">
        <x:v>0.0392156862745098</x:v>
      </x:c>
      <x:c r="I56" s="33" t="n">
        <x:v>0.0392156862745098</x:v>
      </x:c>
      <x:c r="K56" t="str">
        <x:f>A32&amp;" "&amp;TEXT(B32,"hh:mm")</x:f>
        <x:v>outbound 19:30</x:v>
      </x:c>
      <x:c r="L56" s="33" t="n">
        <x:f>G32</x:f>
        <x:v>0.01438004850049722</x:v>
      </x:c>
      <x:c r="M56" s="33" t="n">
        <x:f>H32</x:f>
        <x:v>0.0196078431372549</x:v>
      </x:c>
      <x:c r="N56" s="33" t="n">
        <x:f>I32</x:f>
        <x:v>0.0196078431372549</x:v>
      </x:c>
    </x:row>
    <x:row r="57">
      <x:c r="A57" t="str">
        <x:v>inbound</x:v>
      </x:c>
      <x:c r="B57" s="23" t="n">
        <x:v>0.625</x:v>
      </x:c>
      <x:c r="C57" s="23" t="n">
        <x:v>0.6458333333333334</x:v>
      </x:c>
      <x:c r="D57" s="32" t="n">
        <x:v>29.33986928104575</x:v>
      </x:c>
      <x:c r="E57" t="n">
        <x:v>1</x:v>
      </x:c>
      <x:c r="F57" t="n">
        <x:v>1</x:v>
      </x:c>
      <x:c r="G57" s="33" t="n">
        <x:v>0.022226293274182046</x:v>
      </x:c>
      <x:c r="H57" s="33" t="n">
        <x:v>0.0196078431372549</x:v>
      </x:c>
      <x:c r="I57" s="33" t="n">
        <x:v>0.0196078431372549</x:v>
      </x:c>
      <x:c r="K57" t="str">
        <x:f>A33&amp;" "&amp;TEXT(B33,"hh:mm")</x:f>
        <x:v>outbound 20:00</x:v>
      </x:c>
      <x:c r="L57" s="33" t="n">
        <x:f>G33</x:f>
        <x:v>0.009045866117692215</x:v>
      </x:c>
      <x:c r="M57" s="33" t="n">
        <x:f>H33</x:f>
        <x:v>0.0392156862745098</x:v>
      </x:c>
      <x:c r="N57" s="33" t="n">
        <x:f>I33</x:f>
        <x:v>0.0196078431372549</x:v>
      </x:c>
    </x:row>
    <x:row r="58">
      <x:c r="A58" t="str">
        <x:v>inbound</x:v>
      </x:c>
      <x:c r="B58" s="23" t="n">
        <x:v>0.6458333333333334</x:v>
      </x:c>
      <x:c r="C58" s="23" t="n">
        <x:v>0.6666666666666666</x:v>
      </x:c>
      <x:c r="D58" s="32" t="n">
        <x:v>70.59477124183006</x:v>
      </x:c>
      <x:c r="E58" t="n">
        <x:v>2</x:v>
      </x:c>
      <x:c r="F58" t="n">
        <x:v>2</x:v>
      </x:c>
      <x:c r="G58" s="33" t="n">
        <x:v>0.053478768913887344</x:v>
      </x:c>
      <x:c r="H58" s="33" t="n">
        <x:v>0.0392156862745098</x:v>
      </x:c>
      <x:c r="I58" s="33" t="n">
        <x:v>0.0392156862745098</x:v>
      </x:c>
      <x:c r="K58" t="str">
        <x:f>A34&amp;" "&amp;TEXT(B34,"hh:mm")</x:f>
        <x:v>outbound 20:30</x:v>
      </x:c>
      <x:c r="L58" s="33" t="n">
        <x:f>G34</x:f>
        <x:v>0.010498264100908948</x:v>
      </x:c>
      <x:c r="M58" s="33" t="n">
        <x:f>H34</x:f>
        <x:v>0.0196078431372549</x:v>
      </x:c>
      <x:c r="N58" s="33" t="n">
        <x:f>I34</x:f>
        <x:v>0.0196078431372549</x:v>
      </x:c>
    </x:row>
    <x:row r="59">
      <x:c r="A59" t="str">
        <x:v>inbound</x:v>
      </x:c>
      <x:c r="B59" s="23" t="n">
        <x:v>0.6666666666666666</x:v>
      </x:c>
      <x:c r="C59" s="23" t="n">
        <x:v>0.6875</x:v>
      </x:c>
      <x:c r="D59" s="32" t="n">
        <x:v>36.76470588235294</x:v>
      </x:c>
      <x:c r="E59" t="n">
        <x:v>1</x:v>
      </x:c>
      <x:c r="F59" t="n">
        <x:v>1</x:v>
      </x:c>
      <x:c r="G59" s="33" t="n">
        <x:v>0.027850946684623307</x:v>
      </x:c>
      <x:c r="H59" s="33" t="n">
        <x:v>0.0196078431372549</x:v>
      </x:c>
      <x:c r="I59" s="33" t="n">
        <x:v>0.0196078431372549</x:v>
      </x:c>
      <x:c r="K59" t="str">
        <x:f>A35&amp;" "&amp;TEXT(B35,"hh:mm")</x:f>
        <x:v>outbound 21:00</x:v>
      </x:c>
      <x:c r="L59" s="33" t="n">
        <x:f>G35</x:f>
        <x:v>0.002817564856330362</x:v>
      </x:c>
      <x:c r="M59" s="33" t="n">
        <x:f>H35</x:f>
        <x:v>0.0196078431372549</x:v>
      </x:c>
      <x:c r="N59" s="33" t="n">
        <x:f>I35</x:f>
        <x:v>0.0196078431372549</x:v>
      </x:c>
    </x:row>
    <x:row r="60">
      <x:c r="A60" t="str">
        <x:v>inbound</x:v>
      </x:c>
      <x:c r="B60" s="23" t="n">
        <x:v>0.6875</x:v>
      </x:c>
      <x:c r="C60" s="23" t="n">
        <x:v>0.7083333333333334</x:v>
      </x:c>
      <x:c r="D60" s="32" t="n">
        <x:v>72.36601307189542</x:v>
      </x:c>
      <x:c r="E60" t="n">
        <x:v>2</x:v>
      </x:c>
      <x:c r="F60" t="n">
        <x:v>2</x:v>
      </x:c>
      <x:c r="G60" s="33" t="n">
        <x:v>0.054820565634159865</x:v>
      </x:c>
      <x:c r="H60" s="33" t="n">
        <x:v>0.0392156862745098</x:v>
      </x:c>
      <x:c r="I60" s="33" t="n">
        <x:v>0.0392156862745098</x:v>
      </x:c>
      <x:c r="K60" t="str">
        <x:f>A36&amp;" "&amp;TEXT(B36,"hh:mm")</x:f>
        <x:v>inbound 04:30</x:v>
      </x:c>
      <x:c r="L60" s="33" t="n">
        <x:f>G36</x:f>
        <x:v>0.03250019805117642</x:v>
      </x:c>
      <x:c r="M60" s="33" t="n">
        <x:f>H36</x:f>
        <x:v>0.0196078431372549</x:v>
      </x:c>
      <x:c r="N60" s="33" t="n">
        <x:f>I36</x:f>
        <x:v>0.0196078431372549</x:v>
      </x:c>
    </x:row>
    <x:row r="61">
      <x:c r="A61" t="str">
        <x:v>inbound</x:v>
      </x:c>
      <x:c r="B61" s="23" t="n">
        <x:v>0.7083333333333334</x:v>
      </x:c>
      <x:c r="C61" s="23" t="n">
        <x:v>0.7291666666666666</x:v>
      </x:c>
      <x:c r="D61" s="32" t="n">
        <x:v>63.52287581699346</x:v>
      </x:c>
      <x:c r="E61" t="n">
        <x:v>2</x:v>
      </x:c>
      <x:c r="F61" t="n">
        <x:v>1</x:v>
      </x:c>
      <x:c r="G61" s="33" t="n">
        <x:v>0.04812148459161847</x:v>
      </x:c>
      <x:c r="H61" s="33" t="n">
        <x:v>0.0392156862745098</x:v>
      </x:c>
      <x:c r="I61" s="33" t="n">
        <x:v>0.0196078431372549</x:v>
      </x:c>
      <x:c r="K61" t="str">
        <x:f>A37&amp;" "&amp;TEXT(B37,"hh:mm")</x:f>
        <x:v>inbound 05:00</x:v>
      </x:c>
      <x:c r="L61" s="33" t="n">
        <x:f>G37</x:f>
        <x:v>0.04137289075497108</x:v>
      </x:c>
      <x:c r="M61" s="33" t="n">
        <x:f>H37</x:f>
        <x:v>0.0392156862745098</x:v>
      </x:c>
      <x:c r="N61" s="33" t="n">
        <x:f>I37</x:f>
        <x:v>0.0392156862745098</x:v>
      </x:c>
    </x:row>
    <x:row r="62">
      <x:c r="A62" t="str">
        <x:v>inbound</x:v>
      </x:c>
      <x:c r="B62" s="23" t="n">
        <x:v>0.7291666666666666</x:v>
      </x:c>
      <x:c r="C62" s="23" t="n">
        <x:v>0.75</x:v>
      </x:c>
      <x:c r="D62" s="32" t="n">
        <x:v>39.04575163398693</x:v>
      </x:c>
      <x:c r="E62" t="n">
        <x:v>1</x:v>
      </x:c>
      <x:c r="F62" t="n">
        <x:v>2</x:v>
      </x:c>
      <x:c r="G62" s="33" t="n">
        <x:v>0.029578943198922604</x:v>
      </x:c>
      <x:c r="H62" s="33" t="n">
        <x:v>0.0196078431372549</x:v>
      </x:c>
      <x:c r="I62" s="33" t="n">
        <x:v>0.0392156862745098</x:v>
      </x:c>
      <x:c r="K62" t="str">
        <x:f>A38&amp;" "&amp;TEXT(B38,"hh:mm")</x:f>
        <x:v>inbound 05:30</x:v>
      </x:c>
      <x:c r="L62" s="33" t="n">
        <x:f>G38</x:f>
        <x:v>0.0510229343262299</x:v>
      </x:c>
      <x:c r="M62" s="33" t="n">
        <x:f>H38</x:f>
        <x:v>0.0392156862745098</x:v>
      </x:c>
      <x:c r="N62" s="33" t="n">
        <x:f>I38</x:f>
        <x:v>0.0196078431372549</x:v>
      </x:c>
    </x:row>
    <x:row r="63">
      <x:c r="A63" t="str">
        <x:v>inbound</x:v>
      </x:c>
      <x:c r="B63" s="23" t="n">
        <x:v>0.75</x:v>
      </x:c>
      <x:c r="C63" s="23" t="n">
        <x:v>0.7708333333333334</x:v>
      </x:c>
      <x:c r="D63" s="32" t="n">
        <x:v>31.00653594771242</x:v>
      </x:c>
      <x:c r="E63" t="n">
        <x:v>2</x:v>
      </x:c>
      <x:c r="F63" t="n">
        <x:v>2</x:v>
      </x:c>
      <x:c r="G63" s="33" t="n">
        <x:v>0.023488869523884973</x:v>
      </x:c>
      <x:c r="H63" s="33" t="n">
        <x:v>0.0392156862745098</x:v>
      </x:c>
      <x:c r="I63" s="33" t="n">
        <x:v>0.0392156862745098</x:v>
      </x:c>
      <x:c r="K63" t="str">
        <x:f>A39&amp;" "&amp;TEXT(B39,"hh:mm")</x:f>
        <x:v>inbound 06:00</x:v>
      </x:c>
      <x:c r="L63" s="33" t="n">
        <x:f>G39</x:f>
        <x:v>0.04226412104887903</x:v>
      </x:c>
      <x:c r="M63" s="33" t="n">
        <x:f>H39</x:f>
        <x:v>0.0392156862745098</x:v>
      </x:c>
      <x:c r="N63" s="33" t="n">
        <x:f>I39</x:f>
        <x:v>0.0392156862745098</x:v>
      </x:c>
    </x:row>
    <x:row r="64">
      <x:c r="A64" t="str">
        <x:v>inbound</x:v>
      </x:c>
      <x:c r="B64" s="23" t="n">
        <x:v>0.7708333333333334</x:v>
      </x:c>
      <x:c r="C64" s="23" t="n">
        <x:v>0.7916666666666666</x:v>
      </x:c>
      <x:c r="D64" s="32" t="n">
        <x:v>28.61437908496732</x:v>
      </x:c>
      <x:c r="E64" t="n">
        <x:v>1</x:v>
      </x:c>
      <x:c r="F64" t="n">
        <x:v>1</x:v>
      </x:c>
      <x:c r="G64" s="33" t="n">
        <x:v>0.021676701259605483</x:v>
      </x:c>
      <x:c r="H64" s="33" t="n">
        <x:v>0.0196078431372549</x:v>
      </x:c>
      <x:c r="I64" s="33" t="n">
        <x:v>0.0196078431372549</x:v>
      </x:c>
      <x:c r="K64" t="str">
        <x:f>A40&amp;" "&amp;TEXT(B40,"hh:mm")</x:f>
        <x:v>inbound 06:30</x:v>
      </x:c>
      <x:c r="L64" s="33" t="n">
        <x:f>G40</x:f>
        <x:v>0.03663946763843777</x:v>
      </x:c>
      <x:c r="M64" s="33" t="n">
        <x:f>H40</x:f>
        <x:v>0.0196078431372549</x:v>
      </x:c>
      <x:c r="N64" s="33" t="n">
        <x:f>I40</x:f>
        <x:v>0.0392156862745098</x:v>
      </x:c>
    </x:row>
    <x:row r="65">
      <x:c r="A65" t="str">
        <x:v>inbound</x:v>
      </x:c>
      <x:c r="B65" s="23" t="n">
        <x:v>0.7916666666666666</x:v>
      </x:c>
      <x:c r="C65" s="23" t="n">
        <x:v>0.8125</x:v>
      </x:c>
      <x:c r="D65" s="32" t="n">
        <x:v>24.398692810457515</x:v>
      </x:c>
      <x:c r="E65" t="n">
        <x:v>2</x:v>
      </x:c>
      <x:c r="F65" t="n">
        <x:v>2</x:v>
      </x:c>
      <x:c r="G65" s="33" t="n">
        <x:v>0.018483126039768673</x:v>
      </x:c>
      <x:c r="H65" s="33" t="n">
        <x:v>0.0392156862745098</x:v>
      </x:c>
      <x:c r="I65" s="33" t="n">
        <x:v>0.0392156862745098</x:v>
      </x:c>
      <x:c r="K65" t="str">
        <x:f>A41&amp;" "&amp;TEXT(B41,"hh:mm")</x:f>
        <x:v>inbound 07:00</x:v>
      </x:c>
      <x:c r="L65" s="33" t="n">
        <x:f>G41</x:f>
        <x:v>0.031009862948585914</x:v>
      </x:c>
      <x:c r="M65" s="33" t="n">
        <x:f>H41</x:f>
        <x:v>0.0392156862745098</x:v>
      </x:c>
      <x:c r="N65" s="33" t="n">
        <x:f>I41</x:f>
        <x:v>0.0196078431372549</x:v>
      </x:c>
    </x:row>
    <x:row r="66">
      <x:c r="A66" t="str">
        <x:v>inbound</x:v>
      </x:c>
      <x:c r="B66" s="23" t="n">
        <x:v>0.8125</x:v>
      </x:c>
      <x:c r="C66" s="23" t="n">
        <x:v>0.8333333333333334</x:v>
      </x:c>
      <x:c r="D66" s="32" t="n">
        <x:v>22.679738562091504</x:v>
      </x:c>
      <x:c r="E66" t="n">
        <x:v>1</x:v>
      </x:c>
      <x:c r="F66" t="n">
        <x:v>1</x:v>
      </x:c>
      <x:c r="G66" s="33" t="n">
        <x:v>0.017180939554780957</x:v>
      </x:c>
      <x:c r="H66" s="33" t="n">
        <x:v>0.0196078431372549</x:v>
      </x:c>
      <x:c r="I66" s="33" t="n">
        <x:v>0.0196078431372549</x:v>
      </x:c>
      <x:c r="K66" t="str">
        <x:f>A42&amp;" "&amp;TEXT(B42,"hh:mm")</x:f>
        <x:v>inbound 07:30</x:v>
      </x:c>
      <x:c r="L66" s="33" t="n">
        <x:f>G42</x:f>
        <x:v>0.027390477699437532</x:v>
      </x:c>
      <x:c r="M66" s="33" t="n">
        <x:f>H42</x:f>
        <x:v>0.0196078431372549</x:v>
      </x:c>
      <x:c r="N66" s="33" t="n">
        <x:f>I42</x:f>
        <x:v>0.0392156862745098</x:v>
      </x:c>
    </x:row>
    <x:row r="67">
      <x:c r="A67" t="str">
        <x:v>inbound</x:v>
      </x:c>
      <x:c r="B67" s="23" t="n">
        <x:v>0.8333333333333334</x:v>
      </x:c>
      <x:c r="C67" s="23" t="n">
        <x:v>0.8541666666666666</x:v>
      </x:c>
      <x:c r="D67" s="32" t="n">
        <x:v>17.980392156862745</x:v>
      </x:c>
      <x:c r="E67" t="n">
        <x:v>2</x:v>
      </x:c>
      <x:c r="F67" t="n">
        <x:v>1</x:v>
      </x:c>
      <x:c r="G67" s="33" t="n">
        <x:v>0.013620969658559771</x:v>
      </x:c>
      <x:c r="H67" s="33" t="n">
        <x:v>0.0392156862745098</x:v>
      </x:c>
      <x:c r="I67" s="33" t="n">
        <x:v>0.0196078431372549</x:v>
      </x:c>
      <x:c r="K67" t="str">
        <x:f>A43&amp;" "&amp;TEXT(B43,"hh:mm")</x:f>
        <x:v>inbound 08:00</x:v>
      </x:c>
      <x:c r="L67" s="33" t="n">
        <x:f>G43</x:f>
        <x:v>0.026583419155509783</x:v>
      </x:c>
      <x:c r="M67" s="33" t="n">
        <x:f>H43</x:f>
        <x:v>0.0392156862745098</x:v>
      </x:c>
      <x:c r="N67" s="33" t="n">
        <x:f>I43</x:f>
        <x:v>0.0196078431372549</x:v>
      </x:c>
    </x:row>
    <x:row r="68">
      <x:c r="A68" t="str">
        <x:v>inbound</x:v>
      </x:c>
      <x:c r="B68" s="23" t="n">
        <x:v>0.8541666666666666</x:v>
      </x:c>
      <x:c r="C68" s="23" t="n">
        <x:v>0.875</x:v>
      </x:c>
      <x:c r="D68" s="32" t="n">
        <x:v>14.379084967320262</x:v>
      </x:c>
      <x:c r="E68" t="n">
        <x:v>1</x:v>
      </x:c>
      <x:c r="F68" t="n">
        <x:v>1</x:v>
      </x:c>
      <x:c r="G68" s="33" t="n">
        <x:v>0.010892814703319337</x:v>
      </x:c>
      <x:c r="H68" s="33" t="n">
        <x:v>0.0196078431372549</x:v>
      </x:c>
      <x:c r="I68" s="33" t="n">
        <x:v>0.0196078431372549</x:v>
      </x:c>
      <x:c r="K68" t="str">
        <x:f>A44&amp;" "&amp;TEXT(B44,"hh:mm")</x:f>
        <x:v>inbound 08:30</x:v>
      </x:c>
      <x:c r="L68" s="33" t="n">
        <x:f>G44</x:f>
        <x:v>0.030321635110512557</x:v>
      </x:c>
      <x:c r="M68" s="33" t="n">
        <x:f>H44</x:f>
        <x:v>0.0196078431372549</x:v>
      </x:c>
      <x:c r="N68" s="33" t="n">
        <x:f>I44</x:f>
        <x:v>0.0392156862745098</x:v>
      </x:c>
    </x:row>
    <x:row r="69">
      <x:c r="A69" t="str">
        <x:v>inbound</x:v>
      </x:c>
      <x:c r="B69" s="23" t="n">
        <x:v>0.875</x:v>
      </x:c>
      <x:c r="C69" s="23" t="n">
        <x:v>0.8958333333333334</x:v>
      </x:c>
      <x:c r="D69" s="32" t="n">
        <x:v>7.379084967320262</x:v>
      </x:c>
      <x:c r="E69" t="n">
        <x:v>1</x:v>
      </x:c>
      <x:c r="F69" t="n">
        <x:v>1</x:v>
      </x:c>
      <x:c r="G69" s="33" t="n">
        <x:v>0.00558999445456706</x:v>
      </x:c>
      <x:c r="H69" s="33" t="n">
        <x:v>0.0196078431372549</x:v>
      </x:c>
      <x:c r="I69" s="33" t="n">
        <x:v>0.0196078431372549</x:v>
      </x:c>
      <x:c r="K69" t="str">
        <x:f>A45&amp;" "&amp;TEXT(B45,"hh:mm")</x:f>
        <x:v>inbound 09:00</x:v>
      </x:c>
      <x:c r="L69" s="33" t="n">
        <x:f>G45</x:f>
        <x:v>0.02284520320050701</x:v>
      </x:c>
      <x:c r="M69" s="33" t="n">
        <x:f>H45</x:f>
        <x:v>0.0392156862745098</x:v>
      </x:c>
      <x:c r="N69" s="33" t="n">
        <x:f>I45</x:f>
        <x:v>0.0196078431372549</x:v>
      </x:c>
    </x:row>
    <x:row r="70">
      <x:c r="K70" t="str">
        <x:f>A46&amp;" "&amp;TEXT(B46,"hh:mm")</x:f>
        <x:v>inbound 09:30</x:v>
      </x:c>
      <x:c r="L70" s="33" t="n">
        <x:f>G46</x:f>
        <x:v>0.031405965301433886</x:v>
      </x:c>
      <x:c r="M70" s="33" t="n">
        <x:f>H46</x:f>
        <x:v>0.0196078431372549</x:v>
      </x:c>
      <x:c r="N70" s="33" t="n">
        <x:f>I46</x:f>
        <x:v>0.0392156862745098</x:v>
      </x:c>
    </x:row>
    <x:row r="71">
      <x:c r="K71" t="str">
        <x:f>A47&amp;" "&amp;TEXT(B47,"hh:mm")</x:f>
        <x:v>inbound 10:00</x:v>
      </x:c>
      <x:c r="L71" s="33" t="n">
        <x:f>G47</x:f>
        <x:v>0.028509466846233067</x:v>
      </x:c>
      <x:c r="M71" s="33" t="n">
        <x:f>H47</x:f>
        <x:v>0.0392156862745098</x:v>
      </x:c>
      <x:c r="N71" s="33" t="n">
        <x:f>I47</x:f>
        <x:v>0.0392156862745098</x:v>
      </x:c>
    </x:row>
    <x:row r="72">
      <x:c r="K72" t="str">
        <x:f>A48&amp;" "&amp;TEXT(B48,"hh:mm")</x:f>
        <x:v>inbound 10:30</x:v>
      </x:c>
      <x:c r="L72" s="33" t="n">
        <x:f>G48</x:f>
        <x:v>0.04146696506377248</x:v>
      </x:c>
      <x:c r="M72" s="33" t="n">
        <x:f>H48</x:f>
        <x:v>0.0196078431372549</x:v>
      </x:c>
      <x:c r="N72" s="33" t="n">
        <x:f>I48</x:f>
        <x:v>0.0196078431372549</x:v>
      </x:c>
    </x:row>
    <x:row r="73">
      <x:c r="K73" t="str">
        <x:f>A49&amp;" "&amp;TEXT(B49,"hh:mm")</x:f>
        <x:v>inbound 11:00</x:v>
      </x:c>
      <x:c r="L73" s="33" t="n">
        <x:f>G49</x:f>
        <x:v>0.029370989463677413</x:v>
      </x:c>
      <x:c r="M73" s="33" t="n">
        <x:f>H49</x:f>
        <x:v>0.0392156862745098</x:v>
      </x:c>
      <x:c r="N73" s="33" t="n">
        <x:f>I49</x:f>
        <x:v>0.0392156862745098</x:v>
      </x:c>
    </x:row>
    <x:row r="74">
      <x:c r="K74" t="str">
        <x:f>A50&amp;" "&amp;TEXT(B50,"hh:mm")</x:f>
        <x:v>inbound 11:30</x:v>
      </x:c>
      <x:c r="L74" s="33" t="n">
        <x:f>G50</x:f>
        <x:v>0.029172938287253425</x:v>
      </x:c>
      <x:c r="M74" s="33" t="n">
        <x:f>H50</x:f>
        <x:v>0.0196078431372549</x:v>
      </x:c>
      <x:c r="N74" s="33" t="n">
        <x:f>I50</x:f>
        <x:v>0.0196078431372549</x:v>
      </x:c>
    </x:row>
    <x:row r="75">
      <x:c r="K75" t="str">
        <x:f>A51&amp;" "&amp;TEXT(B51,"hh:mm")</x:f>
        <x:v>inbound 12:00</x:v>
      </x:c>
      <x:c r="L75" s="33" t="n">
        <x:f>G51</x:f>
        <x:v>0.023597797670918165</x:v>
      </x:c>
      <x:c r="M75" s="33" t="n">
        <x:f>H51</x:f>
        <x:v>0.0392156862745098</x:v>
      </x:c>
      <x:c r="N75" s="33" t="n">
        <x:f>I51</x:f>
        <x:v>0.0392156862745098</x:v>
      </x:c>
    </x:row>
    <x:row r="76">
      <x:c r="K76" t="str">
        <x:f>A52&amp;" "&amp;TEXT(B52,"hh:mm")</x:f>
        <x:v>inbound 12:30</x:v>
      </x:c>
      <x:c r="L76" s="33" t="n">
        <x:f>G52</x:f>
        <x:v>0.01876039768676226</x:v>
      </x:c>
      <x:c r="M76" s="33" t="n">
        <x:f>H52</x:f>
        <x:v>0.0196078431372549</x:v>
      </x:c>
      <x:c r="N76" s="33" t="n">
        <x:f>I52</x:f>
        <x:v>0.0392156862745098</x:v>
      </x:c>
    </x:row>
    <x:row r="77">
      <x:c r="K77" t="str">
        <x:f>A53&amp;" "&amp;TEXT(B53,"hh:mm")</x:f>
        <x:v>inbound 13:00</x:v>
      </x:c>
      <x:c r="L77" s="33" t="n">
        <x:f>G53</x:f>
        <x:v>0.018443515804483876</x:v>
      </x:c>
      <x:c r="M77" s="33" t="n">
        <x:f>H53</x:f>
        <x:v>0.0196078431372549</x:v>
      </x:c>
      <x:c r="N77" s="33" t="n">
        <x:f>I53</x:f>
        <x:v>0.0196078431372549</x:v>
      </x:c>
    </x:row>
    <x:row r="78">
      <x:c r="K78" t="str">
        <x:f>A54&amp;" "&amp;TEXT(B54,"hh:mm")</x:f>
        <x:v>inbound 13:30</x:v>
      </x:c>
      <x:c r="L78" s="33" t="n">
        <x:f>G54</x:f>
        <x:v>0.03210409569832845</x:v>
      </x:c>
      <x:c r="M78" s="33" t="n">
        <x:f>H54</x:f>
        <x:v>0.0392156862745098</x:v>
      </x:c>
      <x:c r="N78" s="33" t="n">
        <x:f>I54</x:f>
        <x:v>0.0392156862745098</x:v>
      </x:c>
    </x:row>
    <x:row r="79">
      <x:c r="K79" t="str">
        <x:f>A55&amp;" "&amp;TEXT(B55,"hh:mm")</x:f>
        <x:v>inbound 14:00</x:v>
      </x:c>
      <x:c r="L79" s="33" t="n">
        <x:f>G55</x:f>
        <x:v>0.01958726134833241</x:v>
      </x:c>
      <x:c r="M79" s="33" t="n">
        <x:f>H55</x:f>
        <x:v>0.0196078431372549</x:v>
      </x:c>
      <x:c r="N79" s="33" t="n">
        <x:f>I55</x:f>
        <x:v>0.0196078431372549</x:v>
      </x:c>
    </x:row>
    <x:row r="80">
      <x:c r="K80" t="str">
        <x:f>A56&amp;" "&amp;TEXT(B56,"hh:mm")</x:f>
        <x:v>inbound 14:30</x:v>
      </x:c>
      <x:c r="L80" s="33" t="n">
        <x:f>G56</x:f>
        <x:v>0.03861997940267765</x:v>
      </x:c>
      <x:c r="M80" s="33" t="n">
        <x:f>H56</x:f>
        <x:v>0.0392156862745098</x:v>
      </x:c>
      <x:c r="N80" s="33" t="n">
        <x:f>I56</x:f>
        <x:v>0.0392156862745098</x:v>
      </x:c>
    </x:row>
    <x:row r="81">
      <x:c r="K81" t="str">
        <x:f>A57&amp;" "&amp;TEXT(B57,"hh:mm")</x:f>
        <x:v>inbound 15:00</x:v>
      </x:c>
      <x:c r="L81" s="33" t="n">
        <x:f>G57</x:f>
        <x:v>0.022226293274182046</x:v>
      </x:c>
      <x:c r="M81" s="33" t="n">
        <x:f>H57</x:f>
        <x:v>0.0196078431372549</x:v>
      </x:c>
      <x:c r="N81" s="33" t="n">
        <x:f>I57</x:f>
        <x:v>0.0196078431372549</x:v>
      </x:c>
    </x:row>
    <x:row r="82">
      <x:c r="K82" t="str">
        <x:f>A58&amp;" "&amp;TEXT(B58,"hh:mm")</x:f>
        <x:v>inbound 15:30</x:v>
      </x:c>
      <x:c r="L82" s="33" t="n">
        <x:f>G58</x:f>
        <x:v>0.053478768913887344</x:v>
      </x:c>
      <x:c r="M82" s="33" t="n">
        <x:f>H58</x:f>
        <x:v>0.0392156862745098</x:v>
      </x:c>
      <x:c r="N82" s="33" t="n">
        <x:f>I58</x:f>
        <x:v>0.0392156862745098</x:v>
      </x:c>
    </x:row>
    <x:row r="83">
      <x:c r="K83" t="str">
        <x:f>A59&amp;" "&amp;TEXT(B59,"hh:mm")</x:f>
        <x:v>inbound 16:00</x:v>
      </x:c>
      <x:c r="L83" s="33" t="n">
        <x:f>G59</x:f>
        <x:v>0.027850946684623307</x:v>
      </x:c>
      <x:c r="M83" s="33" t="n">
        <x:f>H59</x:f>
        <x:v>0.0196078431372549</x:v>
      </x:c>
      <x:c r="N83" s="33" t="n">
        <x:f>I59</x:f>
        <x:v>0.0196078431372549</x:v>
      </x:c>
    </x:row>
    <x:row r="84">
      <x:c r="K84" t="str">
        <x:f>A60&amp;" "&amp;TEXT(B60,"hh:mm")</x:f>
        <x:v>inbound 16:30</x:v>
      </x:c>
      <x:c r="L84" s="33" t="n">
        <x:f>G60</x:f>
        <x:v>0.054820565634159865</x:v>
      </x:c>
      <x:c r="M84" s="33" t="n">
        <x:f>H60</x:f>
        <x:v>0.0392156862745098</x:v>
      </x:c>
      <x:c r="N84" s="33" t="n">
        <x:f>I60</x:f>
        <x:v>0.0392156862745098</x:v>
      </x:c>
    </x:row>
    <x:row r="85">
      <x:c r="K85" t="str">
        <x:f>A61&amp;" "&amp;TEXT(B61,"hh:mm")</x:f>
        <x:v>inbound 17:00</x:v>
      </x:c>
      <x:c r="L85" s="33" t="n">
        <x:f>G61</x:f>
        <x:v>0.04812148459161847</x:v>
      </x:c>
      <x:c r="M85" s="33" t="n">
        <x:f>H61</x:f>
        <x:v>0.0392156862745098</x:v>
      </x:c>
      <x:c r="N85" s="33" t="n">
        <x:f>I61</x:f>
        <x:v>0.0196078431372549</x:v>
      </x:c>
    </x:row>
    <x:row r="86">
      <x:c r="K86" t="str">
        <x:f>A62&amp;" "&amp;TEXT(B62,"hh:mm")</x:f>
        <x:v>inbound 17:30</x:v>
      </x:c>
      <x:c r="L86" s="33" t="n">
        <x:f>G62</x:f>
        <x:v>0.029578943198922604</x:v>
      </x:c>
      <x:c r="M86" s="33" t="n">
        <x:f>H62</x:f>
        <x:v>0.0196078431372549</x:v>
      </x:c>
      <x:c r="N86" s="33" t="n">
        <x:f>I62</x:f>
        <x:v>0.0392156862745098</x:v>
      </x:c>
    </x:row>
    <x:row r="87">
      <x:c r="K87" t="str">
        <x:f>A63&amp;" "&amp;TEXT(B63,"hh:mm")</x:f>
        <x:v>inbound 18:00</x:v>
      </x:c>
      <x:c r="L87" s="33" t="n">
        <x:f>G63</x:f>
        <x:v>0.023488869523884973</x:v>
      </x:c>
      <x:c r="M87" s="33" t="n">
        <x:f>H63</x:f>
        <x:v>0.0392156862745098</x:v>
      </x:c>
      <x:c r="N87" s="33" t="n">
        <x:f>I63</x:f>
        <x:v>0.0392156862745098</x:v>
      </x:c>
    </x:row>
    <x:row r="88">
      <x:c r="K88" t="str">
        <x:f>A64&amp;" "&amp;TEXT(B64,"hh:mm")</x:f>
        <x:v>inbound 18:30</x:v>
      </x:c>
      <x:c r="L88" s="33" t="n">
        <x:f>G64</x:f>
        <x:v>0.021676701259605483</x:v>
      </x:c>
      <x:c r="M88" s="33" t="n">
        <x:f>H64</x:f>
        <x:v>0.0196078431372549</x:v>
      </x:c>
      <x:c r="N88" s="33" t="n">
        <x:f>I64</x:f>
        <x:v>0.0196078431372549</x:v>
      </x:c>
    </x:row>
    <x:row r="89">
      <x:c r="K89" t="str">
        <x:f>A65&amp;" "&amp;TEXT(B65,"hh:mm")</x:f>
        <x:v>inbound 19:00</x:v>
      </x:c>
      <x:c r="L89" s="33" t="n">
        <x:f>G65</x:f>
        <x:v>0.018483126039768673</x:v>
      </x:c>
      <x:c r="M89" s="33" t="n">
        <x:f>H65</x:f>
        <x:v>0.0392156862745098</x:v>
      </x:c>
      <x:c r="N89" s="33" t="n">
        <x:f>I65</x:f>
        <x:v>0.0392156862745098</x:v>
      </x:c>
    </x:row>
    <x:row r="90">
      <x:c r="K90" t="str">
        <x:f>A66&amp;" "&amp;TEXT(B66,"hh:mm")</x:f>
        <x:v>inbound 19:30</x:v>
      </x:c>
      <x:c r="L90" s="33" t="n">
        <x:f>G66</x:f>
        <x:v>0.017180939554780957</x:v>
      </x:c>
      <x:c r="M90" s="33" t="n">
        <x:f>H66</x:f>
        <x:v>0.0196078431372549</x:v>
      </x:c>
      <x:c r="N90" s="33" t="n">
        <x:f>I66</x:f>
        <x:v>0.0196078431372549</x:v>
      </x:c>
    </x:row>
    <x:row r="91">
      <x:c r="K91" t="str">
        <x:f>A67&amp;" "&amp;TEXT(B67,"hh:mm")</x:f>
        <x:v>inbound 20:00</x:v>
      </x:c>
      <x:c r="L91" s="33" t="n">
        <x:f>G67</x:f>
        <x:v>0.013620969658559771</x:v>
      </x:c>
      <x:c r="M91" s="33" t="n">
        <x:f>H67</x:f>
        <x:v>0.0392156862745098</x:v>
      </x:c>
      <x:c r="N91" s="33" t="n">
        <x:f>I67</x:f>
        <x:v>0.0196078431372549</x:v>
      </x:c>
    </x:row>
    <x:row r="92">
      <x:c r="K92" t="str">
        <x:f>A68&amp;" "&amp;TEXT(B68,"hh:mm")</x:f>
        <x:v>inbound 20:30</x:v>
      </x:c>
      <x:c r="L92" s="33" t="n">
        <x:f>G68</x:f>
        <x:v>0.010892814703319337</x:v>
      </x:c>
      <x:c r="M92" s="33" t="n">
        <x:f>H68</x:f>
        <x:v>0.0196078431372549</x:v>
      </x:c>
      <x:c r="N92" s="33" t="n">
        <x:f>I68</x:f>
        <x:v>0.0196078431372549</x:v>
      </x:c>
    </x:row>
    <x:row r="93">
      <x:c r="K93" t="str">
        <x:f>A69&amp;" "&amp;TEXT(B69,"hh:mm")</x:f>
        <x:v>inbound 21:00</x:v>
      </x:c>
      <x:c r="L93" s="33" t="n">
        <x:f>G69</x:f>
        <x:v>0.00558999445456706</x:v>
      </x:c>
      <x:c r="M93" s="33" t="n">
        <x:f>H69</x:f>
        <x:v>0.0196078431372549</x:v>
      </x:c>
      <x:c r="N93" s="33" t="n">
        <x:f>I69</x:f>
        <x:v>0.0196078431372549</x:v>
      </x:c>
    </x:row>
    <x:row r="95">
      <x:c r="K95" s="35" t="str">
        <x:v>Service is not expected to follow demand 1:1; all three profiles use the same authoritative bucket scale.</x:v>
      </x:c>
      <x:c r="L95" s="35"/>
      <x:c r="M95" s="35"/>
      <x:c r="N95" s="35"/>
      <x:c r="O95" s="35"/>
      <x:c r="P95" s="35"/>
      <x:c r="Q95" s="35"/>
      <x:c r="R95" s="35"/>
      <x:c r="S95" s="35"/>
      <x:c r="T95" s="35"/>
    </x:row>
    <x:row r="96"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</x:row>
  </x:sheetData>
  <x:mergeCells>
    <x:mergeCell ref="K95:T96"/>
  </x:mergeCells>
  <x:pageMargins left="0.7" right="0.7" top="0.75" bottom="0.75" header="0.3" footer="0.3"/>
  <x:drawing xmlns:r="http://schemas.openxmlformats.org/officeDocument/2006/relationships" r:id="Ra0a12a7ac428435d"/>
  <x:tableParts count="1">
    <x:tablePart xmlns:r="http://schemas.openxmlformats.org/officeDocument/2006/relationships" r:id="R62a69b7b3b534a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49" hidden="0" customWidth="1"/>
  </x:cols>
  <x:sheetData>
    <x:row r="1">
      <x:c r="A1" s="20" t="str">
        <x:v>Metric</x:v>
      </x:c>
      <x:c r="B1" s="21" t="str">
        <x:v>Scenario B/current</x:v>
      </x:c>
      <x:c r="C1" s="21" t="str">
        <x:v>Final V2 selected</x:v>
      </x:c>
      <x:c r="D1" s="22" t="str">
        <x:v>Unit / interpretation</x:v>
      </x:c>
    </x:row>
    <x:row r="2">
      <x:c r="A2" t="str">
        <x:v>Total trips</x:v>
      </x:c>
      <x:c r="B2" t="n">
        <x:v>102</x:v>
      </x:c>
      <x:c r="C2" t="n">
        <x:v>102</x:v>
      </x:c>
      <x:c r="D2" s="31" t="str">
        <x:v>trips/day</x:v>
      </x:c>
    </x:row>
    <x:row r="3">
      <x:c r="A3" t="str">
        <x:v>First departure outbound</x:v>
      </x:c>
      <x:c r="B3" s="23" t="n">
        <x:v>0.20833333333333334</x:v>
      </x:c>
      <x:c r="C3" s="23" t="n">
        <x:v>0.20833333333333334</x:v>
      </x:c>
      <x:c r="D3" s="31" t="str">
        <x:v>HH:MM</x:v>
      </x:c>
    </x:row>
    <x:row r="4">
      <x:c r="A4" t="str">
        <x:v>Last departure outbound</x:v>
      </x:c>
      <x:c r="B4" s="23" t="n">
        <x:v>0.875</x:v>
      </x:c>
      <x:c r="C4" s="23" t="n">
        <x:v>0.875</x:v>
      </x:c>
      <x:c r="D4" s="31" t="str">
        <x:v>HH:MM</x:v>
      </x:c>
    </x:row>
    <x:row r="5">
      <x:c r="A5" t="str">
        <x:v>First departure inbound</x:v>
      </x:c>
      <x:c r="B5" s="23" t="n">
        <x:v>0.19791666666666666</x:v>
      </x:c>
      <x:c r="C5" s="23" t="n">
        <x:v>0.19791666666666666</x:v>
      </x:c>
      <x:c r="D5" s="31" t="str">
        <x:v>HH:MM</x:v>
      </x:c>
    </x:row>
    <x:row r="6">
      <x:c r="A6" t="str">
        <x:v>Last departure inbound</x:v>
      </x:c>
      <x:c r="B6" s="23" t="n">
        <x:v>0.875</x:v>
      </x:c>
      <x:c r="C6" s="23" t="n">
        <x:v>0.875</x:v>
      </x:c>
      <x:c r="D6" s="31" t="str">
        <x:v>HH:MM</x:v>
      </x:c>
    </x:row>
    <x:row r="7">
      <x:c r="A7" t="str">
        <x:v>Fleet requirement</x:v>
      </x:c>
      <x:c r="B7" t="n">
        <x:v>12</x:v>
      </x:c>
      <x:c r="C7" t="n">
        <x:v>12</x:v>
      </x:c>
      <x:c r="D7" s="31" t="str">
        <x:v>vehicles at official authority</x:v>
      </x:c>
    </x:row>
    <x:row r="8">
      <x:c r="A8" t="str">
        <x:v>Expected passenger wait</x:v>
      </x:c>
      <x:c r="B8" s="36" t="n">
        <x:v>9.570295518569958</x:v>
      </x:c>
      <x:c r="C8" s="36" t="n">
        <x:v>9.636890463523153</x:v>
      </x:c>
      <x:c r="D8" s="31" t="str">
        <x:v>minutes</x:v>
      </x:c>
    </x:row>
    <x:row r="9">
      <x:c r="A9" t="str">
        <x:v>Observed-demand SSE mismatch</x:v>
      </x:c>
      <x:c r="B9" s="36" t="n">
        <x:v>0.014105686343515486</x:v>
      </x:c>
      <x:c r="C9" s="36" t="n">
        <x:v>0.010728881378053444</x:v>
      </x:c>
      <x:c r="D9" s="31" t="str">
        <x:v>sum of directional squared share errors</x:v>
      </x:c>
    </x:row>
    <x:row r="10">
      <x:c r="A10" t="str">
        <x:v>Pair trip-equivalent error</x:v>
      </x:c>
      <x:c r="B10" s="36" t="n">
        <x:v>20.690295598310307</x:v>
      </x:c>
      <x:c r="C10" s="36" t="n">
        <x:v>17.669451511448948</x:v>
      </x:c>
      <x:c r="D10" s="31" t="str">
        <x:v>same authoritative bucket authority</x:v>
      </x:c>
    </x:row>
    <x:row r="11">
      <x:c r="A11" t="str">
        <x:v>Maximum bucket wait</x:v>
      </x:c>
      <x:c r="B11" s="36" t="n">
        <x:v>14.166666666666668</x:v>
      </x:c>
      <x:c r="C11" s="36" t="n">
        <x:v>14.066666666666666</x:v>
      </x:c>
      <x:c r="D11" s="31" t="str">
        <x:v>minutes</x:v>
      </x:c>
    </x:row>
    <x:row r="12">
      <x:c r="A12" t="str">
        <x:v>P90 bucket wait</x:v>
      </x:c>
      <x:c r="B12" s="36" t="n">
        <x:v>11.666666666666668</x:v>
      </x:c>
      <x:c r="C12" s="36" t="n">
        <x:v>11.333333333333334</x:v>
      </x:c>
      <x:c r="D12" s="31" t="str">
        <x:v>maximum directional P90, minutes</x:v>
      </x:c>
    </x:row>
    <x:row r="13">
      <x:c r="A13" t="str">
        <x:v>Actual ServiceRegime count</x:v>
      </x:c>
      <x:c r="B13" t="n">
        <x:v>12</x:v>
      </x:c>
      <x:c r="C13" t="n">
        <x:v>11</x:v>
      </x:c>
      <x:c r="D13" s="31" t="str">
        <x:v>uniform exact-headway runs</x:v>
      </x:c>
    </x:row>
    <x:row r="14">
      <x:c r="A14" t="str">
        <x:v>Sustained headway level count</x:v>
      </x:c>
      <x:c r="B14" t="n">
        <x:v>6</x:v>
      </x:c>
      <x:c r="C14" t="n">
        <x:v>9</x:v>
      </x:c>
      <x:c r="D14" s="31" t="str">
        <x:v>sum across directions</x:v>
      </x:c>
    </x:row>
    <x:row r="15">
      <x:c r="A15" t="str">
        <x:v>Effective palette count</x:v>
      </x:c>
      <x:c r="B15" t="n">
        <x:v>6</x:v>
      </x:c>
      <x:c r="C15" t="n">
        <x:v>6</x:v>
      </x:c>
      <x:c r="D15" s="31" t="str">
        <x:v>sum across directions</x:v>
      </x:c>
    </x:row>
    <x:row r="16">
      <x:c r="A16" t="str">
        <x:v>Minimum actual headway</x:v>
      </x:c>
      <x:c r="B16" t="n">
        <x:v>15</x:v>
      </x:c>
      <x:c r="C16" t="n">
        <x:v>14</x:v>
      </x:c>
      <x:c r="D16" s="31" t="str">
        <x:v>minutes</x:v>
      </x:c>
    </x:row>
    <x:row r="17">
      <x:c r="A17" t="str">
        <x:v>Maximum actual headway</x:v>
      </x:c>
      <x:c r="B17" t="n">
        <x:v>25</x:v>
      </x:c>
      <x:c r="C17" t="n">
        <x:v>29</x:v>
      </x:c>
      <x:c r="D17" s="31" t="str">
        <x:v>minutes</x:v>
      </x:c>
    </x:row>
  </x:sheetData>
  <x:pageMargins left="0.7" right="0.7" top="0.75" bottom="0.75" header="0.3" footer="0.3"/>
  <x:tableParts count="1">
    <x:tablePart xmlns:r="http://schemas.openxmlformats.org/officeDocument/2006/relationships" r:id="R79c42bbd0b8646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3" hidden="0" customWidth="1"/>
    <x:col min="5" max="5" width="13" hidden="0" customWidth="1"/>
    <x:col min="6" max="6" width="18" hidden="0" customWidth="1"/>
    <x:col min="7" max="7" width="26" hidden="0" customWidth="1"/>
  </x:cols>
  <x:sheetData>
    <x:row r="1">
      <x:c r="A1" s="20" t="str">
        <x:v>Vehicle</x:v>
      </x:c>
      <x:c r="B1" s="21" t="str">
        <x:v>Trip</x:v>
      </x:c>
      <x:c r="C1" s="21" t="str">
        <x:v>Direction</x:v>
      </x:c>
      <x:c r="D1" s="21" t="str">
        <x:v>Departure</x:v>
      </x:c>
      <x:c r="E1" s="21" t="str">
        <x:v>Arrival</x:v>
      </x:c>
      <x:c r="F1" s="21" t="str">
        <x:v>Next trip</x:v>
      </x:c>
      <x:c r="G1" s="22" t="str">
        <x:v>Connection layover (min)</x:v>
      </x:c>
    </x:row>
    <x:row r="2">
      <x:c r="A2" t="str">
        <x:v>V01</x:v>
      </x:c>
      <x:c r="B2" t="str">
        <x:v>INBOUND-001</x:v>
      </x:c>
      <x:c r="C2" t="str">
        <x:v>inbound</x:v>
      </x:c>
      <x:c r="D2" s="23" t="n">
        <x:v>0.19791666666666666</x:v>
      </x:c>
      <x:c r="E2" s="23" t="n">
        <x:v>0.2534722222222222</x:v>
      </x:c>
      <x:c r="F2" t="str">
        <x:v>OUTBOUND-005</x:v>
      </x:c>
      <x:c r="G2" t="n">
        <x:v>11</x:v>
      </x:c>
    </x:row>
    <x:row r="3">
      <x:c r="A3" t="str">
        <x:v>V01</x:v>
      </x:c>
      <x:c r="B3" t="str">
        <x:v>OUTBOUND-005</x:v>
      </x:c>
      <x:c r="C3" t="str">
        <x:v>outbound</x:v>
      </x:c>
      <x:c r="D3" s="23" t="n">
        <x:v>0.2611111111111111</x:v>
      </x:c>
      <x:c r="E3" s="23" t="n">
        <x:v>0.31666666666666665</x:v>
      </x:c>
      <x:c r="F3" t="str">
        <x:v>INBOUND-011</x:v>
      </x:c>
      <x:c r="G3" t="n">
        <x:v>19</x:v>
      </x:c>
    </x:row>
    <x:row r="4">
      <x:c r="A4" t="str">
        <x:v>V01</x:v>
      </x:c>
      <x:c r="B4" t="str">
        <x:v>INBOUND-011</x:v>
      </x:c>
      <x:c r="C4" t="str">
        <x:v>inbound</x:v>
      </x:c>
      <x:c r="D4" s="23" t="n">
        <x:v>0.3298611111111111</x:v>
      </x:c>
      <x:c r="E4" s="23" t="n">
        <x:v>0.3854166666666667</x:v>
      </x:c>
      <x:c r="F4" t="str">
        <x:v>OUTBOUND-015</x:v>
      </x:c>
      <x:c r="G4" t="n">
        <x:v>24</x:v>
      </x:c>
    </x:row>
    <x:row r="5">
      <x:c r="A5" t="str">
        <x:v>V01</x:v>
      </x:c>
      <x:c r="B5" t="str">
        <x:v>OUTBOUND-015</x:v>
      </x:c>
      <x:c r="C5" t="str">
        <x:v>outbound</x:v>
      </x:c>
      <x:c r="D5" s="23" t="n">
        <x:v>0.40208333333333335</x:v>
      </x:c>
      <x:c r="E5" s="23" t="n">
        <x:v>0.4576388888888889</x:v>
      </x:c>
      <x:c r="F5" t="str">
        <x:v>INBOUND-021</x:v>
      </x:c>
      <x:c r="G5" t="n">
        <x:v>6</x:v>
      </x:c>
    </x:row>
    <x:row r="6">
      <x:c r="A6" t="str">
        <x:v>V01</x:v>
      </x:c>
      <x:c r="B6" t="str">
        <x:v>INBOUND-021</x:v>
      </x:c>
      <x:c r="C6" t="str">
        <x:v>inbound</x:v>
      </x:c>
      <x:c r="D6" s="23" t="n">
        <x:v>0.4618055555555556</x:v>
      </x:c>
      <x:c r="E6" s="23" t="n">
        <x:v>0.5173611111111112</x:v>
      </x:c>
      <x:c r="F6" t="str">
        <x:v>OUTBOUND-025</x:v>
      </x:c>
      <x:c r="G6" t="n">
        <x:v>32</x:v>
      </x:c>
    </x:row>
    <x:row r="7">
      <x:c r="A7" t="str">
        <x:v>V01</x:v>
      </x:c>
      <x:c r="B7" t="str">
        <x:v>OUTBOUND-025</x:v>
      </x:c>
      <x:c r="C7" t="str">
        <x:v>outbound</x:v>
      </x:c>
      <x:c r="D7" s="23" t="n">
        <x:v>0.5395833333333333</x:v>
      </x:c>
      <x:c r="E7" s="23" t="n">
        <x:v>0.5951388888888889</x:v>
      </x:c>
      <x:c r="F7" t="str">
        <x:v>INBOUND-032</x:v>
      </x:c>
      <x:c r="G7" t="n">
        <x:v>17</x:v>
      </x:c>
    </x:row>
    <x:row r="8">
      <x:c r="A8" t="str">
        <x:v>V01</x:v>
      </x:c>
      <x:c r="B8" t="str">
        <x:v>INBOUND-032</x:v>
      </x:c>
      <x:c r="C8" t="str">
        <x:v>inbound</x:v>
      </x:c>
      <x:c r="D8" s="23" t="n">
        <x:v>0.6069444444444444</x:v>
      </x:c>
      <x:c r="E8" s="23" t="n">
        <x:v>0.6625</x:v>
      </x:c>
      <x:c r="F8" t="str">
        <x:v>OUTBOUND-036</x:v>
      </x:c>
      <x:c r="G8" t="n">
        <x:v>22</x:v>
      </x:c>
    </x:row>
    <x:row r="9">
      <x:c r="A9" t="str">
        <x:v>V01</x:v>
      </x:c>
      <x:c r="B9" t="str">
        <x:v>OUTBOUND-036</x:v>
      </x:c>
      <x:c r="C9" t="str">
        <x:v>outbound</x:v>
      </x:c>
      <x:c r="D9" s="23" t="n">
        <x:v>0.6777777777777778</x:v>
      </x:c>
      <x:c r="E9" s="23" t="n">
        <x:v>0.7333333333333333</x:v>
      </x:c>
      <x:c r="F9" t="str">
        <x:v>INBOUND-043</x:v>
      </x:c>
      <x:c r="G9" t="n">
        <x:v>32</x:v>
      </x:c>
    </x:row>
    <x:row r="10">
      <x:c r="A10" t="str">
        <x:v>V01</x:v>
      </x:c>
      <x:c r="B10" t="str">
        <x:v>INBOUND-043</x:v>
      </x:c>
      <x:c r="C10" t="str">
        <x:v>inbound</x:v>
      </x:c>
      <x:c r="D10" s="23" t="n">
        <x:v>0.7555555555555555</x:v>
      </x:c>
      <x:c r="E10" s="23" t="n">
        <x:v>0.8111111111111111</x:v>
      </x:c>
      <x:c r="F10" t="str">
        <x:v>OUTBOUND-048</x:v>
      </x:c>
      <x:c r="G10" t="n">
        <x:v>23</x:v>
      </x:c>
    </x:row>
    <x:row r="11">
      <x:c r="A11" t="str">
        <x:v>V01</x:v>
      </x:c>
      <x:c r="B11" t="str">
        <x:v>OUTBOUND-048</x:v>
      </x:c>
      <x:c r="C11" t="str">
        <x:v>outbound</x:v>
      </x:c>
      <x:c r="D11" s="23" t="n">
        <x:v>0.8270833333333333</x:v>
      </x:c>
      <x:c r="E11" s="23" t="n">
        <x:v>0.8826388888888889</x:v>
      </x:c>
      <x:c r="F11"/>
      <x:c r="G11"/>
    </x:row>
    <x:row r="12">
      <x:c r="A12" t="str">
        <x:v>V02</x:v>
      </x:c>
      <x:c r="B12" t="str">
        <x:v>OUTBOUND-001</x:v>
      </x:c>
      <x:c r="C12" t="str">
        <x:v>outbound</x:v>
      </x:c>
      <x:c r="D12" s="23" t="n">
        <x:v>0.20833333333333334</x:v>
      </x:c>
      <x:c r="E12" s="23" t="n">
        <x:v>0.2638888888888889</x:v>
      </x:c>
      <x:c r="F12" t="str">
        <x:v>INBOUND-007</x:v>
      </x:c>
      <x:c r="G12" t="n">
        <x:v>19</x:v>
      </x:c>
    </x:row>
    <x:row r="13">
      <x:c r="A13" t="str">
        <x:v>V02</x:v>
      </x:c>
      <x:c r="B13" t="str">
        <x:v>INBOUND-007</x:v>
      </x:c>
      <x:c r="C13" t="str">
        <x:v>inbound</x:v>
      </x:c>
      <x:c r="D13" s="23" t="n">
        <x:v>0.27708333333333335</x:v>
      </x:c>
      <x:c r="E13" s="23" t="n">
        <x:v>0.3326388888888889</x:v>
      </x:c>
      <x:c r="F13" t="str">
        <x:v>OUTBOUND-011</x:v>
      </x:c>
      <x:c r="G13" t="n">
        <x:v>20</x:v>
      </x:c>
    </x:row>
    <x:row r="14">
      <x:c r="A14" t="str">
        <x:v>V02</x:v>
      </x:c>
      <x:c r="B14" t="str">
        <x:v>OUTBOUND-011</x:v>
      </x:c>
      <x:c r="C14" t="str">
        <x:v>outbound</x:v>
      </x:c>
      <x:c r="D14" s="23" t="n">
        <x:v>0.34652777777777777</x:v>
      </x:c>
      <x:c r="E14" s="23" t="n">
        <x:v>0.40208333333333335</x:v>
      </x:c>
      <x:c r="F14" t="str">
        <x:v>INBOUND-017</x:v>
      </x:c>
      <x:c r="G14" t="n">
        <x:v>10</x:v>
      </x:c>
    </x:row>
    <x:row r="15">
      <x:c r="A15" t="str">
        <x:v>V02</x:v>
      </x:c>
      <x:c r="B15" t="str">
        <x:v>INBOUND-017</x:v>
      </x:c>
      <x:c r="C15" t="str">
        <x:v>inbound</x:v>
      </x:c>
      <x:c r="D15" s="23" t="n">
        <x:v>0.40902777777777777</x:v>
      </x:c>
      <x:c r="E15" s="23" t="n">
        <x:v>0.46458333333333335</x:v>
      </x:c>
      <x:c r="F15" t="str">
        <x:v>OUTBOUND-021</x:v>
      </x:c>
      <x:c r="G15" t="n">
        <x:v>30</x:v>
      </x:c>
    </x:row>
    <x:row r="16">
      <x:c r="A16" t="str">
        <x:v>V02</x:v>
      </x:c>
      <x:c r="B16" t="str">
        <x:v>OUTBOUND-021</x:v>
      </x:c>
      <x:c r="C16" t="str">
        <x:v>outbound</x:v>
      </x:c>
      <x:c r="D16" s="23" t="n">
        <x:v>0.48541666666666666</x:v>
      </x:c>
      <x:c r="E16" s="23" t="n">
        <x:v>0.5409722222222222</x:v>
      </x:c>
      <x:c r="F16" t="str">
        <x:v>INBOUND-028</x:v>
      </x:c>
      <x:c r="G16" t="n">
        <x:v>19</x:v>
      </x:c>
    </x:row>
    <x:row r="17">
      <x:c r="A17" t="str">
        <x:v>V02</x:v>
      </x:c>
      <x:c r="B17" t="str">
        <x:v>INBOUND-028</x:v>
      </x:c>
      <x:c r="C17" t="str">
        <x:v>inbound</x:v>
      </x:c>
      <x:c r="D17" s="23" t="n">
        <x:v>0.5541666666666667</x:v>
      </x:c>
      <x:c r="E17" s="23" t="n">
        <x:v>0.6097222222222223</x:v>
      </x:c>
      <x:c r="F17" t="str">
        <x:v>OUTBOUND-032</x:v>
      </x:c>
      <x:c r="G17" t="n">
        <x:v>32</x:v>
      </x:c>
    </x:row>
    <x:row r="18">
      <x:c r="A18" t="str">
        <x:v>V02</x:v>
      </x:c>
      <x:c r="B18" t="str">
        <x:v>OUTBOUND-032</x:v>
      </x:c>
      <x:c r="C18" t="str">
        <x:v>outbound</x:v>
      </x:c>
      <x:c r="D18" s="23" t="n">
        <x:v>0.6319444444444444</x:v>
      </x:c>
      <x:c r="E18" s="23" t="n">
        <x:v>0.6875</x:v>
      </x:c>
      <x:c r="F18" t="str">
        <x:v>INBOUND-039</x:v>
      </x:c>
      <x:c r="G18" t="n">
        <x:v>21</x:v>
      </x:c>
    </x:row>
    <x:row r="19">
      <x:c r="A19" t="str">
        <x:v>V02</x:v>
      </x:c>
      <x:c r="B19" t="str">
        <x:v>INBOUND-039</x:v>
      </x:c>
      <x:c r="C19" t="str">
        <x:v>inbound</x:v>
      </x:c>
      <x:c r="D19" s="23" t="n">
        <x:v>0.7020833333333333</x:v>
      </x:c>
      <x:c r="E19" s="23" t="n">
        <x:v>0.7576388888888889</x:v>
      </x:c>
      <x:c r="F19" t="str">
        <x:v>OUTBOUND-044</x:v>
      </x:c>
      <x:c r="G19" t="n">
        <x:v>13</x:v>
      </x:c>
    </x:row>
    <x:row r="20">
      <x:c r="A20" t="str">
        <x:v>V02</x:v>
      </x:c>
      <x:c r="B20" t="str">
        <x:v>OUTBOUND-044</x:v>
      </x:c>
      <x:c r="C20" t="str">
        <x:v>outbound</x:v>
      </x:c>
      <x:c r="D20" s="23" t="n">
        <x:v>0.7666666666666667</x:v>
      </x:c>
      <x:c r="E20" s="23" t="n">
        <x:v>0.8222222222222222</x:v>
      </x:c>
      <x:c r="F20" t="str">
        <x:v>INBOUND-051</x:v>
      </x:c>
      <x:c r="G20" t="n">
        <x:v>76</x:v>
      </x:c>
    </x:row>
    <x:row r="21">
      <x:c r="A21" t="str">
        <x:v>V02</x:v>
      </x:c>
      <x:c r="B21" t="str">
        <x:v>INBOUND-051</x:v>
      </x:c>
      <x:c r="C21" t="str">
        <x:v>inbound</x:v>
      </x:c>
      <x:c r="D21" s="23" t="n">
        <x:v>0.875</x:v>
      </x:c>
      <x:c r="E21" s="23" t="n">
        <x:v>0.9305555555555556</x:v>
      </x:c>
      <x:c r="F21"/>
      <x:c r="G21"/>
    </x:row>
    <x:row r="22">
      <x:c r="A22" t="str">
        <x:v>V03</x:v>
      </x:c>
      <x:c r="B22" t="str">
        <x:v>INBOUND-002</x:v>
      </x:c>
      <x:c r="C22" t="str">
        <x:v>inbound</x:v>
      </x:c>
      <x:c r="D22" s="23" t="n">
        <x:v>0.2111111111111111</x:v>
      </x:c>
      <x:c r="E22" s="23" t="n">
        <x:v>0.26666666666666666</x:v>
      </x:c>
      <x:c r="F22" t="str">
        <x:v>OUTBOUND-006</x:v>
      </x:c>
      <x:c r="G22" t="n">
        <x:v>11</x:v>
      </x:c>
    </x:row>
    <x:row r="23">
      <x:c r="A23" t="str">
        <x:v>V03</x:v>
      </x:c>
      <x:c r="B23" t="str">
        <x:v>OUTBOUND-006</x:v>
      </x:c>
      <x:c r="C23" t="str">
        <x:v>outbound</x:v>
      </x:c>
      <x:c r="D23" s="23" t="n">
        <x:v>0.2743055555555556</x:v>
      </x:c>
      <x:c r="E23" s="23" t="n">
        <x:v>0.3298611111111111</x:v>
      </x:c>
      <x:c r="F23" t="str">
        <x:v>INBOUND-012</x:v>
      </x:c>
      <x:c r="G23" t="n">
        <x:v>19</x:v>
      </x:c>
    </x:row>
    <x:row r="24">
      <x:c r="A24" t="str">
        <x:v>V03</x:v>
      </x:c>
      <x:c r="B24" t="str">
        <x:v>INBOUND-012</x:v>
      </x:c>
      <x:c r="C24" t="str">
        <x:v>inbound</x:v>
      </x:c>
      <x:c r="D24" s="23" t="n">
        <x:v>0.34305555555555556</x:v>
      </x:c>
      <x:c r="E24" s="23" t="n">
        <x:v>0.39861111111111114</x:v>
      </x:c>
      <x:c r="F24" t="str">
        <x:v>OUTBOUND-016</x:v>
      </x:c>
      <x:c r="G24" t="n">
        <x:v>25</x:v>
      </x:c>
    </x:row>
    <x:row r="25">
      <x:c r="A25" t="str">
        <x:v>V03</x:v>
      </x:c>
      <x:c r="B25" t="str">
        <x:v>OUTBOUND-016</x:v>
      </x:c>
      <x:c r="C25" t="str">
        <x:v>outbound</x:v>
      </x:c>
      <x:c r="D25" s="23" t="n">
        <x:v>0.41597222222222224</x:v>
      </x:c>
      <x:c r="E25" s="23" t="n">
        <x:v>0.47152777777777777</x:v>
      </x:c>
      <x:c r="F25" t="str">
        <x:v>INBOUND-022</x:v>
      </x:c>
      <x:c r="G25" t="n">
        <x:v>5</x:v>
      </x:c>
    </x:row>
    <x:row r="26">
      <x:c r="A26" t="str">
        <x:v>V03</x:v>
      </x:c>
      <x:c r="B26" t="str">
        <x:v>INBOUND-022</x:v>
      </x:c>
      <x:c r="C26" t="str">
        <x:v>inbound</x:v>
      </x:c>
      <x:c r="D26" s="23" t="n">
        <x:v>0.475</x:v>
      </x:c>
      <x:c r="E26" s="23" t="n">
        <x:v>0.5305555555555556</x:v>
      </x:c>
      <x:c r="F26" t="str">
        <x:v>OUTBOUND-026</x:v>
      </x:c>
      <x:c r="G26" t="n">
        <x:v>32</x:v>
      </x:c>
    </x:row>
    <x:row r="27">
      <x:c r="A27" t="str">
        <x:v>V03</x:v>
      </x:c>
      <x:c r="B27" t="str">
        <x:v>OUTBOUND-026</x:v>
      </x:c>
      <x:c r="C27" t="str">
        <x:v>outbound</x:v>
      </x:c>
      <x:c r="D27" s="23" t="n">
        <x:v>0.5527777777777778</x:v>
      </x:c>
      <x:c r="E27" s="23" t="n">
        <x:v>0.6083333333333333</x:v>
      </x:c>
      <x:c r="F27" t="str">
        <x:v>INBOUND-033</x:v>
      </x:c>
      <x:c r="G27" t="n">
        <x:v>17</x:v>
      </x:c>
    </x:row>
    <x:row r="28">
      <x:c r="A28" t="str">
        <x:v>V03</x:v>
      </x:c>
      <x:c r="B28" t="str">
        <x:v>INBOUND-033</x:v>
      </x:c>
      <x:c r="C28" t="str">
        <x:v>inbound</x:v>
      </x:c>
      <x:c r="D28" s="23" t="n">
        <x:v>0.6201388888888889</x:v>
      </x:c>
      <x:c r="E28" s="23" t="n">
        <x:v>0.6756944444444445</x:v>
      </x:c>
      <x:c r="F28" t="str">
        <x:v>OUTBOUND-037</x:v>
      </x:c>
      <x:c r="G28" t="n">
        <x:v>17</x:v>
      </x:c>
    </x:row>
    <x:row r="29">
      <x:c r="A29" t="str">
        <x:v>V03</x:v>
      </x:c>
      <x:c r="B29" t="str">
        <x:v>OUTBOUND-037</x:v>
      </x:c>
      <x:c r="C29" t="str">
        <x:v>outbound</x:v>
      </x:c>
      <x:c r="D29" s="23" t="n">
        <x:v>0.6875</x:v>
      </x:c>
      <x:c r="E29" s="23" t="n">
        <x:v>0.7430555555555556</x:v>
      </x:c>
      <x:c r="F29" t="str">
        <x:v>INBOUND-044</x:v>
      </x:c>
      <x:c r="G29" t="n">
        <x:v>37</x:v>
      </x:c>
    </x:row>
    <x:row r="30">
      <x:c r="A30" t="str">
        <x:v>V03</x:v>
      </x:c>
      <x:c r="B30" t="str">
        <x:v>INBOUND-044</x:v>
      </x:c>
      <x:c r="C30" t="str">
        <x:v>inbound</x:v>
      </x:c>
      <x:c r="D30" s="23" t="n">
        <x:v>0.76875</x:v>
      </x:c>
      <x:c r="E30" s="23" t="n">
        <x:v>0.8243055555555555</x:v>
      </x:c>
      <x:c r="F30" t="str">
        <x:v>OUTBOUND-049</x:v>
      </x:c>
      <x:c r="G30" t="n">
        <x:v>27</x:v>
      </x:c>
    </x:row>
    <x:row r="31">
      <x:c r="A31" t="str">
        <x:v>V03</x:v>
      </x:c>
      <x:c r="B31" t="str">
        <x:v>OUTBOUND-049</x:v>
      </x:c>
      <x:c r="C31" t="str">
        <x:v>outbound</x:v>
      </x:c>
      <x:c r="D31" s="23" t="n">
        <x:v>0.8430555555555556</x:v>
      </x:c>
      <x:c r="E31" s="23" t="n">
        <x:v>0.8986111111111111</x:v>
      </x:c>
      <x:c r="F31"/>
      <x:c r="G31"/>
    </x:row>
    <x:row r="32">
      <x:c r="A32" t="str">
        <x:v>V04</x:v>
      </x:c>
      <x:c r="B32" t="str">
        <x:v>OUTBOUND-002</x:v>
      </x:c>
      <x:c r="C32" t="str">
        <x:v>outbound</x:v>
      </x:c>
      <x:c r="D32" s="23" t="n">
        <x:v>0.22152777777777777</x:v>
      </x:c>
      <x:c r="E32" s="23" t="n">
        <x:v>0.27708333333333335</x:v>
      </x:c>
      <x:c r="F32" t="str">
        <x:v>INBOUND-008</x:v>
      </x:c>
      <x:c r="G32" t="n">
        <x:v>19</x:v>
      </x:c>
    </x:row>
    <x:row r="33">
      <x:c r="A33" t="str">
        <x:v>V04</x:v>
      </x:c>
      <x:c r="B33" t="str">
        <x:v>INBOUND-008</x:v>
      </x:c>
      <x:c r="C33" t="str">
        <x:v>inbound</x:v>
      </x:c>
      <x:c r="D33" s="23" t="n">
        <x:v>0.2902777777777778</x:v>
      </x:c>
      <x:c r="E33" s="23" t="n">
        <x:v>0.3458333333333333</x:v>
      </x:c>
      <x:c r="F33" t="str">
        <x:v>OUTBOUND-012</x:v>
      </x:c>
      <x:c r="G33" t="n">
        <x:v>21</x:v>
      </x:c>
    </x:row>
    <x:row r="34">
      <x:c r="A34" t="str">
        <x:v>V04</x:v>
      </x:c>
      <x:c r="B34" t="str">
        <x:v>OUTBOUND-012</x:v>
      </x:c>
      <x:c r="C34" t="str">
        <x:v>outbound</x:v>
      </x:c>
      <x:c r="D34" s="23" t="n">
        <x:v>0.36041666666666666</x:v>
      </x:c>
      <x:c r="E34" s="23" t="n">
        <x:v>0.41597222222222224</x:v>
      </x:c>
      <x:c r="F34" t="str">
        <x:v>INBOUND-018</x:v>
      </x:c>
      <x:c r="G34" t="n">
        <x:v>9</x:v>
      </x:c>
    </x:row>
    <x:row r="35">
      <x:c r="A35" t="str">
        <x:v>V04</x:v>
      </x:c>
      <x:c r="B35" t="str">
        <x:v>INBOUND-018</x:v>
      </x:c>
      <x:c r="C35" t="str">
        <x:v>inbound</x:v>
      </x:c>
      <x:c r="D35" s="23" t="n">
        <x:v>0.4222222222222222</x:v>
      </x:c>
      <x:c r="E35" s="23" t="n">
        <x:v>0.4777777777777778</x:v>
      </x:c>
      <x:c r="F35" t="str">
        <x:v>OUTBOUND-022</x:v>
      </x:c>
      <x:c r="G35" t="n">
        <x:v>31</x:v>
      </x:c>
    </x:row>
    <x:row r="36">
      <x:c r="A36" t="str">
        <x:v>V04</x:v>
      </x:c>
      <x:c r="B36" t="str">
        <x:v>OUTBOUND-022</x:v>
      </x:c>
      <x:c r="C36" t="str">
        <x:v>outbound</x:v>
      </x:c>
      <x:c r="D36" s="23" t="n">
        <x:v>0.49930555555555556</x:v>
      </x:c>
      <x:c r="E36" s="23" t="n">
        <x:v>0.5548611111111111</x:v>
      </x:c>
      <x:c r="F36" t="str">
        <x:v>INBOUND-029</x:v>
      </x:c>
      <x:c r="G36" t="n">
        <x:v>18</x:v>
      </x:c>
    </x:row>
    <x:row r="37">
      <x:c r="A37" t="str">
        <x:v>V04</x:v>
      </x:c>
      <x:c r="B37" t="str">
        <x:v>INBOUND-029</x:v>
      </x:c>
      <x:c r="C37" t="str">
        <x:v>inbound</x:v>
      </x:c>
      <x:c r="D37" s="23" t="n">
        <x:v>0.5673611111111111</x:v>
      </x:c>
      <x:c r="E37" s="23" t="n">
        <x:v>0.6229166666666667</x:v>
      </x:c>
      <x:c r="F37" t="str">
        <x:v>OUTBOUND-033</x:v>
      </x:c>
      <x:c r="G37" t="n">
        <x:v>32</x:v>
      </x:c>
    </x:row>
    <x:row r="38">
      <x:c r="A38" t="str">
        <x:v>V04</x:v>
      </x:c>
      <x:c r="B38" t="str">
        <x:v>OUTBOUND-033</x:v>
      </x:c>
      <x:c r="C38" t="str">
        <x:v>outbound</x:v>
      </x:c>
      <x:c r="D38" s="23" t="n">
        <x:v>0.6451388888888889</x:v>
      </x:c>
      <x:c r="E38" s="23" t="n">
        <x:v>0.7006944444444444</x:v>
      </x:c>
      <x:c r="F38" t="str">
        <x:v>INBOUND-040</x:v>
      </x:c>
      <x:c r="G38" t="n">
        <x:v>22</x:v>
      </x:c>
    </x:row>
    <x:row r="39">
      <x:c r="A39" t="str">
        <x:v>V04</x:v>
      </x:c>
      <x:c r="B39" t="str">
        <x:v>INBOUND-040</x:v>
      </x:c>
      <x:c r="C39" t="str">
        <x:v>inbound</x:v>
      </x:c>
      <x:c r="D39" s="23" t="n">
        <x:v>0.7159722222222222</x:v>
      </x:c>
      <x:c r="E39" s="23" t="n">
        <x:v>0.7715277777777778</x:v>
      </x:c>
      <x:c r="F39" t="str">
        <x:v>OUTBOUND-045</x:v>
      </x:c>
      <x:c r="G39" t="n">
        <x:v>11</x:v>
      </x:c>
    </x:row>
    <x:row r="40">
      <x:c r="A40" t="str">
        <x:v>V04</x:v>
      </x:c>
      <x:c r="B40" t="str">
        <x:v>OUTBOUND-045</x:v>
      </x:c>
      <x:c r="C40" t="str">
        <x:v>outbound</x:v>
      </x:c>
      <x:c r="D40" s="23" t="n">
        <x:v>0.7791666666666667</x:v>
      </x:c>
      <x:c r="E40" s="23" t="n">
        <x:v>0.8347222222222223</x:v>
      </x:c>
      <x:c r="F40"/>
      <x:c r="G40"/>
    </x:row>
    <x:row r="41">
      <x:c r="A41" t="str">
        <x:v>V05</x:v>
      </x:c>
      <x:c r="B41" t="str">
        <x:v>INBOUND-003</x:v>
      </x:c>
      <x:c r="C41" t="str">
        <x:v>inbound</x:v>
      </x:c>
      <x:c r="D41" s="23" t="n">
        <x:v>0.22430555555555556</x:v>
      </x:c>
      <x:c r="E41" s="23" t="n">
        <x:v>0.2798611111111111</x:v>
      </x:c>
      <x:c r="F41" t="str">
        <x:v>OUTBOUND-007</x:v>
      </x:c>
      <x:c r="G41" t="n">
        <x:v>13</x:v>
      </x:c>
    </x:row>
    <x:row r="42">
      <x:c r="A42" t="str">
        <x:v>V05</x:v>
      </x:c>
      <x:c r="B42" t="str">
        <x:v>OUTBOUND-007</x:v>
      </x:c>
      <x:c r="C42" t="str">
        <x:v>outbound</x:v>
      </x:c>
      <x:c r="D42" s="23" t="n">
        <x:v>0.28888888888888886</x:v>
      </x:c>
      <x:c r="E42" s="23" t="n">
        <x:v>0.34444444444444444</x:v>
      </x:c>
      <x:c r="F42" t="str">
        <x:v>INBOUND-013</x:v>
      </x:c>
      <x:c r="G42" t="n">
        <x:v>17</x:v>
      </x:c>
    </x:row>
    <x:row r="43">
      <x:c r="A43" t="str">
        <x:v>V05</x:v>
      </x:c>
      <x:c r="B43" t="str">
        <x:v>INBOUND-013</x:v>
      </x:c>
      <x:c r="C43" t="str">
        <x:v>inbound</x:v>
      </x:c>
      <x:c r="D43" s="23" t="n">
        <x:v>0.35625</x:v>
      </x:c>
      <x:c r="E43" s="23" t="n">
        <x:v>0.41180555555555554</x:v>
      </x:c>
      <x:c r="F43" t="str">
        <x:v>OUTBOUND-017</x:v>
      </x:c>
      <x:c r="G43" t="n">
        <x:v>26</x:v>
      </x:c>
    </x:row>
    <x:row r="44">
      <x:c r="A44" t="str">
        <x:v>V05</x:v>
      </x:c>
      <x:c r="B44" t="str">
        <x:v>OUTBOUND-017</x:v>
      </x:c>
      <x:c r="C44" t="str">
        <x:v>outbound</x:v>
      </x:c>
      <x:c r="D44" s="23" t="n">
        <x:v>0.42986111111111114</x:v>
      </x:c>
      <x:c r="E44" s="23" t="n">
        <x:v>0.48541666666666666</x:v>
      </x:c>
      <x:c r="F44" t="str">
        <x:v>INBOUND-024</x:v>
      </x:c>
      <x:c r="G44" t="n">
        <x:v>23</x:v>
      </x:c>
    </x:row>
    <x:row r="45">
      <x:c r="A45" t="str">
        <x:v>V05</x:v>
      </x:c>
      <x:c r="B45" t="str">
        <x:v>INBOUND-024</x:v>
      </x:c>
      <x:c r="C45" t="str">
        <x:v>inbound</x:v>
      </x:c>
      <x:c r="D45" s="23" t="n">
        <x:v>0.5013888888888889</x:v>
      </x:c>
      <x:c r="E45" s="23" t="n">
        <x:v>0.5569444444444445</x:v>
      </x:c>
      <x:c r="F45" t="str">
        <x:v>OUTBOUND-028</x:v>
      </x:c>
      <x:c r="G45" t="n">
        <x:v>32</x:v>
      </x:c>
    </x:row>
    <x:row r="46">
      <x:c r="A46" t="str">
        <x:v>V05</x:v>
      </x:c>
      <x:c r="B46" t="str">
        <x:v>OUTBOUND-028</x:v>
      </x:c>
      <x:c r="C46" t="str">
        <x:v>outbound</x:v>
      </x:c>
      <x:c r="D46" s="23" t="n">
        <x:v>0.5791666666666667</x:v>
      </x:c>
      <x:c r="E46" s="23" t="n">
        <x:v>0.6347222222222222</x:v>
      </x:c>
      <x:c r="F46" t="str">
        <x:v>INBOUND-035</x:v>
      </x:c>
      <x:c r="G46" t="n">
        <x:v>17</x:v>
      </x:c>
    </x:row>
    <x:row r="47">
      <x:c r="A47" t="str">
        <x:v>V05</x:v>
      </x:c>
      <x:c r="B47" t="str">
        <x:v>INBOUND-035</x:v>
      </x:c>
      <x:c r="C47" t="str">
        <x:v>inbound</x:v>
      </x:c>
      <x:c r="D47" s="23" t="n">
        <x:v>0.6465277777777778</x:v>
      </x:c>
      <x:c r="E47" s="23" t="n">
        <x:v>0.7020833333333333</x:v>
      </x:c>
      <x:c r="F47" t="str">
        <x:v>OUTBOUND-039</x:v>
      </x:c>
      <x:c r="G47" t="n">
        <x:v>7</x:v>
      </x:c>
    </x:row>
    <x:row r="48">
      <x:c r="A48" t="str">
        <x:v>V05</x:v>
      </x:c>
      <x:c r="B48" t="str">
        <x:v>OUTBOUND-039</x:v>
      </x:c>
      <x:c r="C48" t="str">
        <x:v>outbound</x:v>
      </x:c>
      <x:c r="D48" s="23" t="n">
        <x:v>0.7069444444444445</x:v>
      </x:c>
      <x:c r="E48" s="23" t="n">
        <x:v>0.7625</x:v>
      </x:c>
      <x:c r="F48" t="str">
        <x:v>INBOUND-046</x:v>
      </x:c>
      <x:c r="G48" t="n">
        <x:v>47</x:v>
      </x:c>
    </x:row>
    <x:row r="49">
      <x:c r="A49" t="str">
        <x:v>V05</x:v>
      </x:c>
      <x:c r="B49" t="str">
        <x:v>INBOUND-046</x:v>
      </x:c>
      <x:c r="C49" t="str">
        <x:v>inbound</x:v>
      </x:c>
      <x:c r="D49" s="23" t="n">
        <x:v>0.7951388888888888</x:v>
      </x:c>
      <x:c r="E49" s="23" t="n">
        <x:v>0.8506944444444444</x:v>
      </x:c>
      <x:c r="F49" t="str">
        <x:v>OUTBOUND-051</x:v>
      </x:c>
      <x:c r="G49" t="n">
        <x:v>35</x:v>
      </x:c>
    </x:row>
    <x:row r="50">
      <x:c r="A50" t="str">
        <x:v>V05</x:v>
      </x:c>
      <x:c r="B50" t="str">
        <x:v>OUTBOUND-051</x:v>
      </x:c>
      <x:c r="C50" t="str">
        <x:v>outbound</x:v>
      </x:c>
      <x:c r="D50" s="23" t="n">
        <x:v>0.875</x:v>
      </x:c>
      <x:c r="E50" s="23" t="n">
        <x:v>0.9305555555555556</x:v>
      </x:c>
      <x:c r="F50"/>
      <x:c r="G50"/>
    </x:row>
    <x:row r="51">
      <x:c r="A51" t="str">
        <x:v>V06</x:v>
      </x:c>
      <x:c r="B51" t="str">
        <x:v>OUTBOUND-003</x:v>
      </x:c>
      <x:c r="C51" t="str">
        <x:v>outbound</x:v>
      </x:c>
      <x:c r="D51" s="23" t="n">
        <x:v>0.23472222222222222</x:v>
      </x:c>
      <x:c r="E51" s="23" t="n">
        <x:v>0.2902777777777778</x:v>
      </x:c>
      <x:c r="F51" t="str">
        <x:v>INBOUND-009</x:v>
      </x:c>
      <x:c r="G51" t="n">
        <x:v>19</x:v>
      </x:c>
    </x:row>
    <x:row r="52">
      <x:c r="A52" t="str">
        <x:v>V06</x:v>
      </x:c>
      <x:c r="B52" t="str">
        <x:v>INBOUND-009</x:v>
      </x:c>
      <x:c r="C52" t="str">
        <x:v>inbound</x:v>
      </x:c>
      <x:c r="D52" s="23" t="n">
        <x:v>0.3034722222222222</x:v>
      </x:c>
      <x:c r="E52" s="23" t="n">
        <x:v>0.3590277777777778</x:v>
      </x:c>
      <x:c r="F52" t="str">
        <x:v>OUTBOUND-013</x:v>
      </x:c>
      <x:c r="G52" t="n">
        <x:v>22</x:v>
      </x:c>
    </x:row>
    <x:row r="53">
      <x:c r="A53" t="str">
        <x:v>V06</x:v>
      </x:c>
      <x:c r="B53" t="str">
        <x:v>OUTBOUND-013</x:v>
      </x:c>
      <x:c r="C53" t="str">
        <x:v>outbound</x:v>
      </x:c>
      <x:c r="D53" s="23" t="n">
        <x:v>0.37430555555555556</x:v>
      </x:c>
      <x:c r="E53" s="23" t="n">
        <x:v>0.42986111111111114</x:v>
      </x:c>
      <x:c r="F53" t="str">
        <x:v>INBOUND-019</x:v>
      </x:c>
      <x:c r="G53" t="n">
        <x:v>8</x:v>
      </x:c>
    </x:row>
    <x:row r="54">
      <x:c r="A54" t="str">
        <x:v>V06</x:v>
      </x:c>
      <x:c r="B54" t="str">
        <x:v>INBOUND-019</x:v>
      </x:c>
      <x:c r="C54" t="str">
        <x:v>inbound</x:v>
      </x:c>
      <x:c r="D54" s="23" t="n">
        <x:v>0.4354166666666667</x:v>
      </x:c>
      <x:c r="E54" s="23" t="n">
        <x:v>0.4909722222222222</x:v>
      </x:c>
      <x:c r="F54" t="str">
        <x:v>OUTBOUND-023</x:v>
      </x:c>
      <x:c r="G54" t="n">
        <x:v>32</x:v>
      </x:c>
    </x:row>
    <x:row r="55">
      <x:c r="A55" t="str">
        <x:v>V06</x:v>
      </x:c>
      <x:c r="B55" t="str">
        <x:v>OUTBOUND-023</x:v>
      </x:c>
      <x:c r="C55" t="str">
        <x:v>outbound</x:v>
      </x:c>
      <x:c r="D55" s="23" t="n">
        <x:v>0.5131944444444444</x:v>
      </x:c>
      <x:c r="E55" s="23" t="n">
        <x:v>0.56875</x:v>
      </x:c>
      <x:c r="F55" t="str">
        <x:v>INBOUND-030</x:v>
      </x:c>
      <x:c r="G55" t="n">
        <x:v>17</x:v>
      </x:c>
    </x:row>
    <x:row r="56">
      <x:c r="A56" t="str">
        <x:v>V06</x:v>
      </x:c>
      <x:c r="B56" t="str">
        <x:v>INBOUND-030</x:v>
      </x:c>
      <x:c r="C56" t="str">
        <x:v>inbound</x:v>
      </x:c>
      <x:c r="D56" s="23" t="n">
        <x:v>0.5805555555555556</x:v>
      </x:c>
      <x:c r="E56" s="23" t="n">
        <x:v>0.6361111111111111</x:v>
      </x:c>
      <x:c r="F56" t="str">
        <x:v>OUTBOUND-034</x:v>
      </x:c>
      <x:c r="G56" t="n">
        <x:v>32</x:v>
      </x:c>
    </x:row>
    <x:row r="57">
      <x:c r="A57" t="str">
        <x:v>V06</x:v>
      </x:c>
      <x:c r="B57" t="str">
        <x:v>OUTBOUND-034</x:v>
      </x:c>
      <x:c r="C57" t="str">
        <x:v>outbound</x:v>
      </x:c>
      <x:c r="D57" s="23" t="n">
        <x:v>0.6583333333333333</x:v>
      </x:c>
      <x:c r="E57" s="23" t="n">
        <x:v>0.7138888888888889</x:v>
      </x:c>
      <x:c r="F57" t="str">
        <x:v>INBOUND-041</x:v>
      </x:c>
      <x:c r="G57" t="n">
        <x:v>22</x:v>
      </x:c>
    </x:row>
    <x:row r="58">
      <x:c r="A58" t="str">
        <x:v>V06</x:v>
      </x:c>
      <x:c r="B58" t="str">
        <x:v>INBOUND-041</x:v>
      </x:c>
      <x:c r="C58" t="str">
        <x:v>inbound</x:v>
      </x:c>
      <x:c r="D58" s="23" t="n">
        <x:v>0.7291666666666666</x:v>
      </x:c>
      <x:c r="E58" s="23" t="n">
        <x:v>0.7847222222222222</x:v>
      </x:c>
      <x:c r="F58" t="str">
        <x:v>OUTBOUND-046</x:v>
      </x:c>
      <x:c r="G58" t="n">
        <x:v>15</x:v>
      </x:c>
    </x:row>
    <x:row r="59">
      <x:c r="A59" t="str">
        <x:v>V06</x:v>
      </x:c>
      <x:c r="B59" t="str">
        <x:v>OUTBOUND-046</x:v>
      </x:c>
      <x:c r="C59" t="str">
        <x:v>outbound</x:v>
      </x:c>
      <x:c r="D59" s="23" t="n">
        <x:v>0.7951388888888888</x:v>
      </x:c>
      <x:c r="E59" s="23" t="n">
        <x:v>0.8506944444444444</x:v>
      </x:c>
      <x:c r="F59"/>
      <x:c r="G59"/>
    </x:row>
    <x:row r="60">
      <x:c r="A60" t="str">
        <x:v>V07</x:v>
      </x:c>
      <x:c r="B60" t="str">
        <x:v>INBOUND-004</x:v>
      </x:c>
      <x:c r="C60" t="str">
        <x:v>inbound</x:v>
      </x:c>
      <x:c r="D60" s="23" t="n">
        <x:v>0.2375</x:v>
      </x:c>
      <x:c r="E60" s="23" t="n">
        <x:v>0.29305555555555557</x:v>
      </x:c>
      <x:c r="F60" t="str">
        <x:v>OUTBOUND-008</x:v>
      </x:c>
      <x:c r="G60" t="n">
        <x:v>15</x:v>
      </x:c>
    </x:row>
    <x:row r="61">
      <x:c r="A61" t="str">
        <x:v>V07</x:v>
      </x:c>
      <x:c r="B61" t="str">
        <x:v>OUTBOUND-008</x:v>
      </x:c>
      <x:c r="C61" t="str">
        <x:v>outbound</x:v>
      </x:c>
      <x:c r="D61" s="23" t="n">
        <x:v>0.3034722222222222</x:v>
      </x:c>
      <x:c r="E61" s="23" t="n">
        <x:v>0.3590277777777778</x:v>
      </x:c>
      <x:c r="F61" t="str">
        <x:v>INBOUND-014</x:v>
      </x:c>
      <x:c r="G61" t="n">
        <x:v>15</x:v>
      </x:c>
    </x:row>
    <x:row r="62">
      <x:c r="A62" t="str">
        <x:v>V07</x:v>
      </x:c>
      <x:c r="B62" t="str">
        <x:v>INBOUND-014</x:v>
      </x:c>
      <x:c r="C62" t="str">
        <x:v>inbound</x:v>
      </x:c>
      <x:c r="D62" s="23" t="n">
        <x:v>0.36944444444444446</x:v>
      </x:c>
      <x:c r="E62" s="23" t="n">
        <x:v>0.425</x:v>
      </x:c>
      <x:c r="F62" t="str">
        <x:v>OUTBOUND-018</x:v>
      </x:c>
      <x:c r="G62" t="n">
        <x:v>27</x:v>
      </x:c>
    </x:row>
    <x:row r="63">
      <x:c r="A63" t="str">
        <x:v>V07</x:v>
      </x:c>
      <x:c r="B63" t="str">
        <x:v>OUTBOUND-018</x:v>
      </x:c>
      <x:c r="C63" t="str">
        <x:v>outbound</x:v>
      </x:c>
      <x:c r="D63" s="23" t="n">
        <x:v>0.44375</x:v>
      </x:c>
      <x:c r="E63" s="23" t="n">
        <x:v>0.49930555555555556</x:v>
      </x:c>
      <x:c r="F63" t="str">
        <x:v>INBOUND-025</x:v>
      </x:c>
      <x:c r="G63" t="n">
        <x:v>22</x:v>
      </x:c>
    </x:row>
    <x:row r="64">
      <x:c r="A64" t="str">
        <x:v>V07</x:v>
      </x:c>
      <x:c r="B64" t="str">
        <x:v>INBOUND-025</x:v>
      </x:c>
      <x:c r="C64" t="str">
        <x:v>inbound</x:v>
      </x:c>
      <x:c r="D64" s="23" t="n">
        <x:v>0.5145833333333333</x:v>
      </x:c>
      <x:c r="E64" s="23" t="n">
        <x:v>0.5701388888888889</x:v>
      </x:c>
      <x:c r="F64" t="str">
        <x:v>OUTBOUND-029</x:v>
      </x:c>
      <x:c r="G64" t="n">
        <x:v>32</x:v>
      </x:c>
    </x:row>
    <x:row r="65">
      <x:c r="A65" t="str">
        <x:v>V07</x:v>
      </x:c>
      <x:c r="B65" t="str">
        <x:v>OUTBOUND-029</x:v>
      </x:c>
      <x:c r="C65" t="str">
        <x:v>outbound</x:v>
      </x:c>
      <x:c r="D65" s="23" t="n">
        <x:v>0.5923611111111111</x:v>
      </x:c>
      <x:c r="E65" s="23" t="n">
        <x:v>0.6479166666666667</x:v>
      </x:c>
      <x:c r="F65" t="str">
        <x:v>INBOUND-036</x:v>
      </x:c>
      <x:c r="G65" t="n">
        <x:v>18</x:v>
      </x:c>
    </x:row>
    <x:row r="66">
      <x:c r="A66" t="str">
        <x:v>V07</x:v>
      </x:c>
      <x:c r="B66" t="str">
        <x:v>INBOUND-036</x:v>
      </x:c>
      <x:c r="C66" t="str">
        <x:v>inbound</x:v>
      </x:c>
      <x:c r="D66" s="23" t="n">
        <x:v>0.6604166666666667</x:v>
      </x:c>
      <x:c r="E66" s="23" t="n">
        <x:v>0.7159722222222222</x:v>
      </x:c>
      <x:c r="F66" t="str">
        <x:v>OUTBOUND-041</x:v>
      </x:c>
      <x:c r="G66" t="n">
        <x:v>19</x:v>
      </x:c>
    </x:row>
    <x:row r="67">
      <x:c r="A67" t="str">
        <x:v>V07</x:v>
      </x:c>
      <x:c r="B67" t="str">
        <x:v>OUTBOUND-041</x:v>
      </x:c>
      <x:c r="C67" t="str">
        <x:v>outbound</x:v>
      </x:c>
      <x:c r="D67" s="23" t="n">
        <x:v>0.7291666666666666</x:v>
      </x:c>
      <x:c r="E67" s="23" t="n">
        <x:v>0.7847222222222222</x:v>
      </x:c>
      <x:c r="F67" t="str">
        <x:v>INBOUND-048</x:v>
      </x:c>
      <x:c r="G67" t="n">
        <x:v>53</x:v>
      </x:c>
    </x:row>
    <x:row r="68">
      <x:c r="A68" t="str">
        <x:v>V07</x:v>
      </x:c>
      <x:c r="B68" t="str">
        <x:v>INBOUND-048</x:v>
      </x:c>
      <x:c r="C68" t="str">
        <x:v>inbound</x:v>
      </x:c>
      <x:c r="D68" s="23" t="n">
        <x:v>0.8215277777777777</x:v>
      </x:c>
      <x:c r="E68" s="23" t="n">
        <x:v>0.8770833333333333</x:v>
      </x:c>
      <x:c r="F68"/>
      <x:c r="G68"/>
    </x:row>
    <x:row r="69">
      <x:c r="A69" t="str">
        <x:v>V08</x:v>
      </x:c>
      <x:c r="B69" t="str">
        <x:v>OUTBOUND-004</x:v>
      </x:c>
      <x:c r="C69" t="str">
        <x:v>outbound</x:v>
      </x:c>
      <x:c r="D69" s="23" t="n">
        <x:v>0.24791666666666667</x:v>
      </x:c>
      <x:c r="E69" s="23" t="n">
        <x:v>0.3034722222222222</x:v>
      </x:c>
      <x:c r="F69" t="str">
        <x:v>INBOUND-010</x:v>
      </x:c>
      <x:c r="G69" t="n">
        <x:v>19</x:v>
      </x:c>
    </x:row>
    <x:row r="70">
      <x:c r="A70" t="str">
        <x:v>V08</x:v>
      </x:c>
      <x:c r="B70" t="str">
        <x:v>INBOUND-010</x:v>
      </x:c>
      <x:c r="C70" t="str">
        <x:v>inbound</x:v>
      </x:c>
      <x:c r="D70" s="23" t="n">
        <x:v>0.31666666666666665</x:v>
      </x:c>
      <x:c r="E70" s="23" t="n">
        <x:v>0.37222222222222223</x:v>
      </x:c>
      <x:c r="F70" t="str">
        <x:v>OUTBOUND-014</x:v>
      </x:c>
      <x:c r="G70" t="n">
        <x:v>23</x:v>
      </x:c>
    </x:row>
    <x:row r="71">
      <x:c r="A71" t="str">
        <x:v>V08</x:v>
      </x:c>
      <x:c r="B71" t="str">
        <x:v>OUTBOUND-014</x:v>
      </x:c>
      <x:c r="C71" t="str">
        <x:v>outbound</x:v>
      </x:c>
      <x:c r="D71" s="23" t="n">
        <x:v>0.38819444444444445</x:v>
      </x:c>
      <x:c r="E71" s="23" t="n">
        <x:v>0.44375</x:v>
      </x:c>
      <x:c r="F71" t="str">
        <x:v>INBOUND-020</x:v>
      </x:c>
      <x:c r="G71" t="n">
        <x:v>7</x:v>
      </x:c>
    </x:row>
    <x:row r="72">
      <x:c r="A72" t="str">
        <x:v>V08</x:v>
      </x:c>
      <x:c r="B72" t="str">
        <x:v>INBOUND-020</x:v>
      </x:c>
      <x:c r="C72" t="str">
        <x:v>inbound</x:v>
      </x:c>
      <x:c r="D72" s="23" t="n">
        <x:v>0.4486111111111111</x:v>
      </x:c>
      <x:c r="E72" s="23" t="n">
        <x:v>0.5041666666666667</x:v>
      </x:c>
      <x:c r="F72" t="str">
        <x:v>OUTBOUND-024</x:v>
      </x:c>
      <x:c r="G72" t="n">
        <x:v>32</x:v>
      </x:c>
    </x:row>
    <x:row r="73">
      <x:c r="A73" t="str">
        <x:v>V08</x:v>
      </x:c>
      <x:c r="B73" t="str">
        <x:v>OUTBOUND-024</x:v>
      </x:c>
      <x:c r="C73" t="str">
        <x:v>outbound</x:v>
      </x:c>
      <x:c r="D73" s="23" t="n">
        <x:v>0.5263888888888889</x:v>
      </x:c>
      <x:c r="E73" s="23" t="n">
        <x:v>0.5819444444444445</x:v>
      </x:c>
      <x:c r="F73" t="str">
        <x:v>INBOUND-031</x:v>
      </x:c>
      <x:c r="G73" t="n">
        <x:v>17</x:v>
      </x:c>
    </x:row>
    <x:row r="74">
      <x:c r="A74" t="str">
        <x:v>V08</x:v>
      </x:c>
      <x:c r="B74" t="str">
        <x:v>INBOUND-031</x:v>
      </x:c>
      <x:c r="C74" t="str">
        <x:v>inbound</x:v>
      </x:c>
      <x:c r="D74" s="23" t="n">
        <x:v>0.59375</x:v>
      </x:c>
      <x:c r="E74" s="23" t="n">
        <x:v>0.6493055555555556</x:v>
      </x:c>
      <x:c r="F74" t="str">
        <x:v>OUTBOUND-035</x:v>
      </x:c>
      <x:c r="G74" t="n">
        <x:v>27</x:v>
      </x:c>
    </x:row>
    <x:row r="75">
      <x:c r="A75" t="str">
        <x:v>V08</x:v>
      </x:c>
      <x:c r="B75" t="str">
        <x:v>OUTBOUND-035</x:v>
      </x:c>
      <x:c r="C75" t="str">
        <x:v>outbound</x:v>
      </x:c>
      <x:c r="D75" s="23" t="n">
        <x:v>0.6680555555555555</x:v>
      </x:c>
      <x:c r="E75" s="23" t="n">
        <x:v>0.7236111111111111</x:v>
      </x:c>
      <x:c r="F75" t="str">
        <x:v>INBOUND-042</x:v>
      </x:c>
      <x:c r="G75" t="n">
        <x:v>27</x:v>
      </x:c>
    </x:row>
    <x:row r="76">
      <x:c r="A76" t="str">
        <x:v>V08</x:v>
      </x:c>
      <x:c r="B76" t="str">
        <x:v>INBOUND-042</x:v>
      </x:c>
      <x:c r="C76" t="str">
        <x:v>inbound</x:v>
      </x:c>
      <x:c r="D76" s="23" t="n">
        <x:v>0.7423611111111111</x:v>
      </x:c>
      <x:c r="E76" s="23" t="n">
        <x:v>0.7979166666666667</x:v>
      </x:c>
      <x:c r="F76" t="str">
        <x:v>OUTBOUND-047</x:v>
      </x:c>
      <x:c r="G76" t="n">
        <x:v>19</x:v>
      </x:c>
    </x:row>
    <x:row r="77">
      <x:c r="A77" t="str">
        <x:v>V08</x:v>
      </x:c>
      <x:c r="B77" t="str">
        <x:v>OUTBOUND-047</x:v>
      </x:c>
      <x:c r="C77" t="str">
        <x:v>outbound</x:v>
      </x:c>
      <x:c r="D77" s="23" t="n">
        <x:v>0.8111111111111111</x:v>
      </x:c>
      <x:c r="E77" s="23" t="n">
        <x:v>0.8666666666666667</x:v>
      </x:c>
      <x:c r="F77"/>
      <x:c r="G77"/>
    </x:row>
    <x:row r="78">
      <x:c r="A78" t="str">
        <x:v>V09</x:v>
      </x:c>
      <x:c r="B78" t="str">
        <x:v>INBOUND-005</x:v>
      </x:c>
      <x:c r="C78" t="str">
        <x:v>inbound</x:v>
      </x:c>
      <x:c r="D78" s="23" t="n">
        <x:v>0.25069444444444444</x:v>
      </x:c>
      <x:c r="E78" s="23" t="n">
        <x:v>0.30625</x:v>
      </x:c>
      <x:c r="F78" t="str">
        <x:v>OUTBOUND-009</x:v>
      </x:c>
      <x:c r="G78" t="n">
        <x:v>17</x:v>
      </x:c>
    </x:row>
    <x:row r="79">
      <x:c r="A79" t="str">
        <x:v>V09</x:v>
      </x:c>
      <x:c r="B79" t="str">
        <x:v>OUTBOUND-009</x:v>
      </x:c>
      <x:c r="C79" t="str">
        <x:v>outbound</x:v>
      </x:c>
      <x:c r="D79" s="23" t="n">
        <x:v>0.31805555555555554</x:v>
      </x:c>
      <x:c r="E79" s="23" t="n">
        <x:v>0.3736111111111111</x:v>
      </x:c>
      <x:c r="F79" t="str">
        <x:v>INBOUND-015</x:v>
      </x:c>
      <x:c r="G79" t="n">
        <x:v>13</x:v>
      </x:c>
    </x:row>
    <x:row r="80">
      <x:c r="A80" t="str">
        <x:v>V09</x:v>
      </x:c>
      <x:c r="B80" t="str">
        <x:v>INBOUND-015</x:v>
      </x:c>
      <x:c r="C80" t="str">
        <x:v>inbound</x:v>
      </x:c>
      <x:c r="D80" s="23" t="n">
        <x:v>0.38263888888888886</x:v>
      </x:c>
      <x:c r="E80" s="23" t="n">
        <x:v>0.43819444444444444</x:v>
      </x:c>
      <x:c r="F80" t="str">
        <x:v>OUTBOUND-019</x:v>
      </x:c>
      <x:c r="G80" t="n">
        <x:v>28</x:v>
      </x:c>
    </x:row>
    <x:row r="81">
      <x:c r="A81" t="str">
        <x:v>V09</x:v>
      </x:c>
      <x:c r="B81" t="str">
        <x:v>OUTBOUND-019</x:v>
      </x:c>
      <x:c r="C81" t="str">
        <x:v>outbound</x:v>
      </x:c>
      <x:c r="D81" s="23" t="n">
        <x:v>0.4576388888888889</x:v>
      </x:c>
      <x:c r="E81" s="23" t="n">
        <x:v>0.5131944444444444</x:v>
      </x:c>
      <x:c r="F81" t="str">
        <x:v>INBOUND-026</x:v>
      </x:c>
      <x:c r="G81" t="n">
        <x:v>21</x:v>
      </x:c>
    </x:row>
    <x:row r="82">
      <x:c r="A82" t="str">
        <x:v>V09</x:v>
      </x:c>
      <x:c r="B82" t="str">
        <x:v>INBOUND-026</x:v>
      </x:c>
      <x:c r="C82" t="str">
        <x:v>inbound</x:v>
      </x:c>
      <x:c r="D82" s="23" t="n">
        <x:v>0.5277777777777778</x:v>
      </x:c>
      <x:c r="E82" s="23" t="n">
        <x:v>0.5833333333333334</x:v>
      </x:c>
      <x:c r="F82" t="str">
        <x:v>OUTBOUND-030</x:v>
      </x:c>
      <x:c r="G82" t="n">
        <x:v>32</x:v>
      </x:c>
    </x:row>
    <x:row r="83">
      <x:c r="A83" t="str">
        <x:v>V09</x:v>
      </x:c>
      <x:c r="B83" t="str">
        <x:v>OUTBOUND-030</x:v>
      </x:c>
      <x:c r="C83" t="str">
        <x:v>outbound</x:v>
      </x:c>
      <x:c r="D83" s="23" t="n">
        <x:v>0.6055555555555555</x:v>
      </x:c>
      <x:c r="E83" s="23" t="n">
        <x:v>0.6611111111111111</x:v>
      </x:c>
      <x:c r="F83" t="str">
        <x:v>INBOUND-037</x:v>
      </x:c>
      <x:c r="G83" t="n">
        <x:v>19</x:v>
      </x:c>
    </x:row>
    <x:row r="84">
      <x:c r="A84" t="str">
        <x:v>V09</x:v>
      </x:c>
      <x:c r="B84" t="str">
        <x:v>INBOUND-037</x:v>
      </x:c>
      <x:c r="C84" t="str">
        <x:v>inbound</x:v>
      </x:c>
      <x:c r="D84" s="23" t="n">
        <x:v>0.6743055555555556</x:v>
      </x:c>
      <x:c r="E84" s="23" t="n">
        <x:v>0.7298611111111111</x:v>
      </x:c>
      <x:c r="F84" t="str">
        <x:v>OUTBOUND-042</x:v>
      </x:c>
      <x:c r="G84" t="n">
        <x:v>17</x:v>
      </x:c>
    </x:row>
    <x:row r="85">
      <x:c r="A85" t="str">
        <x:v>V09</x:v>
      </x:c>
      <x:c r="B85" t="str">
        <x:v>OUTBOUND-042</x:v>
      </x:c>
      <x:c r="C85" t="str">
        <x:v>outbound</x:v>
      </x:c>
      <x:c r="D85" s="23" t="n">
        <x:v>0.7416666666666667</x:v>
      </x:c>
      <x:c r="E85" s="23" t="n">
        <x:v>0.7972222222222223</x:v>
      </x:c>
      <x:c r="F85" t="str">
        <x:v>INBOUND-049</x:v>
      </x:c>
      <x:c r="G85" t="n">
        <x:v>54</x:v>
      </x:c>
    </x:row>
    <x:row r="86">
      <x:c r="A86" t="str">
        <x:v>V09</x:v>
      </x:c>
      <x:c r="B86" t="str">
        <x:v>INBOUND-049</x:v>
      </x:c>
      <x:c r="C86" t="str">
        <x:v>inbound</x:v>
      </x:c>
      <x:c r="D86" s="23" t="n">
        <x:v>0.8347222222222223</x:v>
      </x:c>
      <x:c r="E86" s="23" t="n">
        <x:v>0.8902777777777777</x:v>
      </x:c>
      <x:c r="F86"/>
      <x:c r="G86"/>
    </x:row>
    <x:row r="87">
      <x:c r="A87" t="str">
        <x:v>V10</x:v>
      </x:c>
      <x:c r="B87" t="str">
        <x:v>INBOUND-006</x:v>
      </x:c>
      <x:c r="C87" t="str">
        <x:v>inbound</x:v>
      </x:c>
      <x:c r="D87" s="23" t="n">
        <x:v>0.2638888888888889</x:v>
      </x:c>
      <x:c r="E87" s="23" t="n">
        <x:v>0.3194444444444444</x:v>
      </x:c>
      <x:c r="F87" t="str">
        <x:v>OUTBOUND-010</x:v>
      </x:c>
      <x:c r="G87" t="n">
        <x:v>19</x:v>
      </x:c>
    </x:row>
    <x:row r="88">
      <x:c r="A88" t="str">
        <x:v>V10</x:v>
      </x:c>
      <x:c r="B88" t="str">
        <x:v>OUTBOUND-010</x:v>
      </x:c>
      <x:c r="C88" t="str">
        <x:v>outbound</x:v>
      </x:c>
      <x:c r="D88" s="23" t="n">
        <x:v>0.3326388888888889</x:v>
      </x:c>
      <x:c r="E88" s="23" t="n">
        <x:v>0.38819444444444445</x:v>
      </x:c>
      <x:c r="F88" t="str">
        <x:v>INBOUND-016</x:v>
      </x:c>
      <x:c r="G88" t="n">
        <x:v>11</x:v>
      </x:c>
    </x:row>
    <x:row r="89">
      <x:c r="A89" t="str">
        <x:v>V10</x:v>
      </x:c>
      <x:c r="B89" t="str">
        <x:v>INBOUND-016</x:v>
      </x:c>
      <x:c r="C89" t="str">
        <x:v>inbound</x:v>
      </x:c>
      <x:c r="D89" s="23" t="n">
        <x:v>0.3958333333333333</x:v>
      </x:c>
      <x:c r="E89" s="23" t="n">
        <x:v>0.4513888888888889</x:v>
      </x:c>
      <x:c r="F89" t="str">
        <x:v>OUTBOUND-020</x:v>
      </x:c>
      <x:c r="G89" t="n">
        <x:v>29</x:v>
      </x:c>
    </x:row>
    <x:row r="90">
      <x:c r="A90" t="str">
        <x:v>V10</x:v>
      </x:c>
      <x:c r="B90" t="str">
        <x:v>OUTBOUND-020</x:v>
      </x:c>
      <x:c r="C90" t="str">
        <x:v>outbound</x:v>
      </x:c>
      <x:c r="D90" s="23" t="n">
        <x:v>0.47152777777777777</x:v>
      </x:c>
      <x:c r="E90" s="23" t="n">
        <x:v>0.5270833333333333</x:v>
      </x:c>
      <x:c r="F90" t="str">
        <x:v>INBOUND-027</x:v>
      </x:c>
      <x:c r="G90" t="n">
        <x:v>20</x:v>
      </x:c>
    </x:row>
    <x:row r="91">
      <x:c r="A91" t="str">
        <x:v>V10</x:v>
      </x:c>
      <x:c r="B91" t="str">
        <x:v>INBOUND-027</x:v>
      </x:c>
      <x:c r="C91" t="str">
        <x:v>inbound</x:v>
      </x:c>
      <x:c r="D91" s="23" t="n">
        <x:v>0.5409722222222222</x:v>
      </x:c>
      <x:c r="E91" s="23" t="n">
        <x:v>0.5965277777777778</x:v>
      </x:c>
      <x:c r="F91" t="str">
        <x:v>OUTBOUND-031</x:v>
      </x:c>
      <x:c r="G91" t="n">
        <x:v>32</x:v>
      </x:c>
    </x:row>
    <x:row r="92">
      <x:c r="A92" t="str">
        <x:v>V10</x:v>
      </x:c>
      <x:c r="B92" t="str">
        <x:v>OUTBOUND-031</x:v>
      </x:c>
      <x:c r="C92" t="str">
        <x:v>outbound</x:v>
      </x:c>
      <x:c r="D92" s="23" t="n">
        <x:v>0.61875</x:v>
      </x:c>
      <x:c r="E92" s="23" t="n">
        <x:v>0.6743055555555556</x:v>
      </x:c>
      <x:c r="F92" t="str">
        <x:v>INBOUND-038</x:v>
      </x:c>
      <x:c r="G92" t="n">
        <x:v>20</x:v>
      </x:c>
    </x:row>
    <x:row r="93">
      <x:c r="A93" t="str">
        <x:v>V10</x:v>
      </x:c>
      <x:c r="B93" t="str">
        <x:v>INBOUND-038</x:v>
      </x:c>
      <x:c r="C93" t="str">
        <x:v>inbound</x:v>
      </x:c>
      <x:c r="D93" s="23" t="n">
        <x:v>0.6881944444444444</x:v>
      </x:c>
      <x:c r="E93" s="23" t="n">
        <x:v>0.74375</x:v>
      </x:c>
      <x:c r="F93" t="str">
        <x:v>OUTBOUND-043</x:v>
      </x:c>
      <x:c r="G93" t="n">
        <x:v>15</x:v>
      </x:c>
    </x:row>
    <x:row r="94">
      <x:c r="A94" t="str">
        <x:v>V10</x:v>
      </x:c>
      <x:c r="B94" t="str">
        <x:v>OUTBOUND-043</x:v>
      </x:c>
      <x:c r="C94" t="str">
        <x:v>outbound</x:v>
      </x:c>
      <x:c r="D94" s="23" t="n">
        <x:v>0.7541666666666667</x:v>
      </x:c>
      <x:c r="E94" s="23" t="n">
        <x:v>0.8097222222222222</x:v>
      </x:c>
      <x:c r="F94" t="str">
        <x:v>INBOUND-050</x:v>
      </x:c>
      <x:c r="G94" t="n">
        <x:v>65</x:v>
      </x:c>
    </x:row>
    <x:row r="95">
      <x:c r="A95" t="str">
        <x:v>V10</x:v>
      </x:c>
      <x:c r="B95" t="str">
        <x:v>INBOUND-050</x:v>
      </x:c>
      <x:c r="C95" t="str">
        <x:v>inbound</x:v>
      </x:c>
      <x:c r="D95" s="23" t="n">
        <x:v>0.8548611111111111</x:v>
      </x:c>
      <x:c r="E95" s="23" t="n">
        <x:v>0.9104166666666667</x:v>
      </x:c>
      <x:c r="F95"/>
      <x:c r="G95"/>
    </x:row>
    <x:row r="96">
      <x:c r="A96" t="str">
        <x:v>V11</x:v>
      </x:c>
      <x:c r="B96" t="str">
        <x:v>INBOUND-023</x:v>
      </x:c>
      <x:c r="C96" t="str">
        <x:v>inbound</x:v>
      </x:c>
      <x:c r="D96" s="23" t="n">
        <x:v>0.48819444444444443</x:v>
      </x:c>
      <x:c r="E96" s="23" t="n">
        <x:v>0.54375</x:v>
      </x:c>
      <x:c r="F96" t="str">
        <x:v>OUTBOUND-027</x:v>
      </x:c>
      <x:c r="G96" t="n">
        <x:v>32</x:v>
      </x:c>
    </x:row>
    <x:row r="97">
      <x:c r="A97" t="str">
        <x:v>V11</x:v>
      </x:c>
      <x:c r="B97" t="str">
        <x:v>OUTBOUND-027</x:v>
      </x:c>
      <x:c r="C97" t="str">
        <x:v>outbound</x:v>
      </x:c>
      <x:c r="D97" s="23" t="n">
        <x:v>0.5659722222222222</x:v>
      </x:c>
      <x:c r="E97" s="23" t="n">
        <x:v>0.6215277777777778</x:v>
      </x:c>
      <x:c r="F97" t="str">
        <x:v>INBOUND-034</x:v>
      </x:c>
      <x:c r="G97" t="n">
        <x:v>17</x:v>
      </x:c>
    </x:row>
    <x:row r="98">
      <x:c r="A98" t="str">
        <x:v>V11</x:v>
      </x:c>
      <x:c r="B98" t="str">
        <x:v>INBOUND-034</x:v>
      </x:c>
      <x:c r="C98" t="str">
        <x:v>inbound</x:v>
      </x:c>
      <x:c r="D98" s="23" t="n">
        <x:v>0.6333333333333333</x:v>
      </x:c>
      <x:c r="E98" s="23" t="n">
        <x:v>0.6888888888888889</x:v>
      </x:c>
      <x:c r="F98" t="str">
        <x:v>OUTBOUND-038</x:v>
      </x:c>
      <x:c r="G98" t="n">
        <x:v>12</x:v>
      </x:c>
    </x:row>
    <x:row r="99">
      <x:c r="A99" t="str">
        <x:v>V11</x:v>
      </x:c>
      <x:c r="B99" t="str">
        <x:v>OUTBOUND-038</x:v>
      </x:c>
      <x:c r="C99" t="str">
        <x:v>outbound</x:v>
      </x:c>
      <x:c r="D99" s="23" t="n">
        <x:v>0.6972222222222222</x:v>
      </x:c>
      <x:c r="E99" s="23" t="n">
        <x:v>0.7527777777777778</x:v>
      </x:c>
      <x:c r="F99" t="str">
        <x:v>INBOUND-045</x:v>
      </x:c>
      <x:c r="G99" t="n">
        <x:v>42</x:v>
      </x:c>
    </x:row>
    <x:row r="100">
      <x:c r="A100" t="str">
        <x:v>V11</x:v>
      </x:c>
      <x:c r="B100" t="str">
        <x:v>INBOUND-045</x:v>
      </x:c>
      <x:c r="C100" t="str">
        <x:v>inbound</x:v>
      </x:c>
      <x:c r="D100" s="23" t="n">
        <x:v>0.7819444444444444</x:v>
      </x:c>
      <x:c r="E100" s="23" t="n">
        <x:v>0.8375</x:v>
      </x:c>
      <x:c r="F100" t="str">
        <x:v>OUTBOUND-050</x:v>
      </x:c>
      <x:c r="G100" t="n">
        <x:v>31</x:v>
      </x:c>
    </x:row>
    <x:row r="101">
      <x:c r="A101" t="str">
        <x:v>V11</x:v>
      </x:c>
      <x:c r="B101" t="str">
        <x:v>OUTBOUND-050</x:v>
      </x:c>
      <x:c r="C101" t="str">
        <x:v>outbound</x:v>
      </x:c>
      <x:c r="D101" s="23" t="n">
        <x:v>0.8590277777777777</x:v>
      </x:c>
      <x:c r="E101" s="23" t="n">
        <x:v>0.9145833333333333</x:v>
      </x:c>
      <x:c r="F101"/>
      <x:c r="G101"/>
    </x:row>
    <x:row r="102">
      <x:c r="A102" t="str">
        <x:v>V12</x:v>
      </x:c>
      <x:c r="B102" t="str">
        <x:v>OUTBOUND-040</x:v>
      </x:c>
      <x:c r="C102" t="str">
        <x:v>outbound</x:v>
      </x:c>
      <x:c r="D102" s="23" t="n">
        <x:v>0.7166666666666667</x:v>
      </x:c>
      <x:c r="E102" s="23" t="n">
        <x:v>0.7722222222222223</x:v>
      </x:c>
      <x:c r="F102" t="str">
        <x:v>INBOUND-047</x:v>
      </x:c>
      <x:c r="G102" t="n">
        <x:v>52</x:v>
      </x:c>
    </x:row>
    <x:row r="103">
      <x:c r="A103" t="str">
        <x:v>V12</x:v>
      </x:c>
      <x:c r="B103" t="str">
        <x:v>INBOUND-047</x:v>
      </x:c>
      <x:c r="C103" t="str">
        <x:v>inbound</x:v>
      </x:c>
      <x:c r="D103" s="23" t="n">
        <x:v>0.8083333333333333</x:v>
      </x:c>
      <x:c r="E103" s="23" t="n">
        <x:v>0.8638888888888889</x:v>
      </x:c>
      <x:c r="F103"/>
      <x:c r="G103"/>
    </x:row>
  </x:sheetData>
  <x:pageMargins left="0.7" right="0.7" top="0.75" bottom="0.75" header="0.3" footer="0.3"/>
  <x:tableParts count="1">
    <x:tablePart xmlns:r="http://schemas.openxmlformats.org/officeDocument/2006/relationships" r:id="R1bd328c680a2409f"/>
  </x:tableParts>
</x:worksheet>
</file>